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ata Science And Business\"/>
    </mc:Choice>
  </mc:AlternateContent>
  <xr:revisionPtr revIDLastSave="0" documentId="13_ncr:1_{D829EA7B-38EF-493F-9EB2-3C88CF35B938}" xr6:coauthVersionLast="47" xr6:coauthVersionMax="47" xr10:uidLastSave="{00000000-0000-0000-0000-000000000000}"/>
  <bookViews>
    <workbookView xWindow="-104" yWindow="-104" windowWidth="22326" windowHeight="11947" tabRatio="615" xr2:uid="{E8899DAF-4976-F649-A2C7-0A3574A60574}"/>
  </bookViews>
  <sheets>
    <sheet name="TradeData_2017_to_2023" sheetId="1" r:id="rId1"/>
    <sheet name="Primary Value" sheetId="5" r:id="rId2"/>
    <sheet name="Quantity" sheetId="7" r:id="rId3"/>
    <sheet name="Price Per Qty" sheetId="9" r:id="rId4"/>
    <sheet name="TradeData_2017_to_2023_without " sheetId="2" r:id="rId5"/>
    <sheet name="TradeData_2017_to_2023_zero" sheetId="3" r:id="rId6"/>
    <sheet name="Notes" sheetId="4" r:id="rId7"/>
  </sheets>
  <definedNames>
    <definedName name="_xlnm._FilterDatabase" localSheetId="0" hidden="1">TradeData_2017_to_2023!$A$1:$H$118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<sst xmlns="http://schemas.openxmlformats.org/spreadsheetml/2006/main" count="802" uniqueCount="48">
  <si>
    <t>Average of PrimaryValue</t>
  </si>
  <si>
    <t>Column Labels</t>
  </si>
  <si>
    <t>Row Labels</t>
  </si>
  <si>
    <t>Uganda</t>
  </si>
  <si>
    <t>Zimbabwe</t>
  </si>
  <si>
    <t>Grand Total</t>
  </si>
  <si>
    <t>Sum of PrimaryValue</t>
  </si>
  <si>
    <t>Max of PrimaryValue</t>
  </si>
  <si>
    <t>Sum of Qty</t>
  </si>
  <si>
    <t>Average of Qty</t>
  </si>
  <si>
    <t>Max of Qty</t>
  </si>
  <si>
    <t>Sum of Price per Qty</t>
  </si>
  <si>
    <t>Period</t>
  </si>
  <si>
    <t>ReporterDesc</t>
  </si>
  <si>
    <t>PartnerDesc</t>
  </si>
  <si>
    <t>Partner2Desc</t>
  </si>
  <si>
    <t>CmdCode</t>
  </si>
  <si>
    <t>Qty</t>
  </si>
  <si>
    <t>PrimaryValue</t>
  </si>
  <si>
    <t>Price per Qty</t>
  </si>
  <si>
    <t>World</t>
  </si>
  <si>
    <t>South Africa</t>
  </si>
  <si>
    <t>United Arab Emirates</t>
  </si>
  <si>
    <t>Belgium</t>
  </si>
  <si>
    <t>Turkey</t>
  </si>
  <si>
    <t>USA</t>
  </si>
  <si>
    <t>Areas, nes</t>
  </si>
  <si>
    <t>China, Hong Kong SAR</t>
  </si>
  <si>
    <t>India</t>
  </si>
  <si>
    <t>United Kingdom</t>
  </si>
  <si>
    <t>Viet Nam</t>
  </si>
  <si>
    <t>China</t>
  </si>
  <si>
    <t>Mozambique</t>
  </si>
  <si>
    <t>Ukraine</t>
  </si>
  <si>
    <t>Philippines</t>
  </si>
  <si>
    <t xml:space="preserve"> No Data after 2021</t>
  </si>
  <si>
    <t>Need to know what happened after 2021</t>
  </si>
  <si>
    <t>zero values in 2020</t>
  </si>
  <si>
    <t>COVID period</t>
  </si>
  <si>
    <t>zero values in 2023</t>
  </si>
  <si>
    <t>Need to know the reason</t>
  </si>
  <si>
    <t xml:space="preserve">BRICS. </t>
  </si>
  <si>
    <t>Brazil</t>
  </si>
  <si>
    <t>Russia</t>
  </si>
  <si>
    <t>Iran</t>
  </si>
  <si>
    <t>Egypt</t>
  </si>
  <si>
    <t>Ethiopia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</si>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</sst>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202122"/>
      <name val="Arial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[Simran_Cleaned_Data.xlsx]Primary Value!PivotTable1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Primary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'Primary Value'!$B$3:$B$4</c:f>
              <c:strCache>
                <c:ptCount val="1"/>
                <c:pt idx="0">
                  <c:v>Uganda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'Primary Value'!$A$5:$A$12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'Primary Value'!$B$5:$B$12</c:f>
              <c:numCache>
                <c:formatCode>General</c:formatCode>
                <c:ptCount val="7"/>
                <c:pt idx="0">
                  <c:v>151152997.21181819</c:v>
                </c:pt>
                <c:pt idx="1">
                  <c:v>147304007.73571429</c:v>
                </c:pt>
                <c:pt idx="2">
                  <c:v>418916862.69083327</c:v>
                </c:pt>
                <c:pt idx="3">
                  <c:v>661092126.5454545</c:v>
                </c:pt>
                <c:pt idx="4">
                  <c:v>688569704.66666663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D-8A4C-A9C6-AD4D3A4112F4}"/>
            </c:ext>
          </c:extLst>
        </c:ser>
        <c:ser>
          <c:idx val="1"/>
          <c:order val="1"/>
          <c:tx>
            <c:strRef>
              <c:f>'Primary Value'!$C$3:$C$4</c:f>
              <c:strCache>
                <c:ptCount val="1"/>
                <c:pt idx="0">
                  <c:v>Zimbabwe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'Primary Value'!$A$5:$A$12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'Primary Value'!$C$5:$C$12</c:f>
              <c:numCache>
                <c:formatCode>General</c:formatCode>
                <c:ptCount val="7"/>
                <c:pt idx="0">
                  <c:v>443012787.05000001</c:v>
                </c:pt>
                <c:pt idx="1">
                  <c:v>570764498.4000001</c:v>
                </c:pt>
                <c:pt idx="2">
                  <c:v>531957004.94499993</c:v>
                </c:pt>
                <c:pt idx="3">
                  <c:v>231119469.04058823</c:v>
                </c:pt>
                <c:pt idx="4">
                  <c:v>806421678.0374999</c:v>
                </c:pt>
                <c:pt idx="5">
                  <c:v>996173316.54500008</c:v>
                </c:pt>
                <c:pt idx="6">
                  <c:v>1203651278.7133334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D-8A4C-A9C6-AD4D3A41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648240"/>
        <c:axId val="2072514288"/>
      </c:lineChart>
      <c:catAx>
        <c:axId val="191264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14288"/>
        <c:crosses val="autoZero"/>
        <c:auto val="1"/>
        <c:lblAlgn val="ctr"/>
        <c:lblOffset val="100"/>
        <c:noMultiLvlLbl val="0"/>
      </c:catAx>
      <c:valAx>
        <c:axId val="20725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4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[Simran_Cleaned_Data.xlsx]Primary Value!PivotTable2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'Primary Value'!$B$30:$B$31</c:f>
              <c:strCache>
                <c:ptCount val="1"/>
                <c:pt idx="0">
                  <c:v>Uganda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'Primary Value'!$A$32:$A$39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'Primary Value'!$B$32:$B$39</c:f>
              <c:numCache>
                <c:formatCode>General</c:formatCode>
                <c:ptCount val="7"/>
                <c:pt idx="0">
                  <c:v>1662682969.3300002</c:v>
                </c:pt>
                <c:pt idx="1">
                  <c:v>2062256108.3000002</c:v>
                </c:pt>
                <c:pt idx="2">
                  <c:v>5027002352.289999</c:v>
                </c:pt>
                <c:pt idx="3">
                  <c:v>7272013392</c:v>
                </c:pt>
                <c:pt idx="4">
                  <c:v>4131418228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1-1241-94B9-764AE63C7ABF}"/>
            </c:ext>
          </c:extLst>
        </c:ser>
        <c:ser>
          <c:idx val="1"/>
          <c:order val="1"/>
          <c:tx>
            <c:strRef>
              <c:f>'Primary Value'!$C$30:$C$31</c:f>
              <c:strCache>
                <c:ptCount val="1"/>
                <c:pt idx="0">
                  <c:v>Zimbabwe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'Primary Value'!$A$32:$A$39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'Primary Value'!$C$32:$C$39</c:f>
              <c:numCache>
                <c:formatCode>General</c:formatCode>
                <c:ptCount val="7"/>
                <c:pt idx="0">
                  <c:v>3544102296.4000001</c:v>
                </c:pt>
                <c:pt idx="1">
                  <c:v>4566115987.2000008</c:v>
                </c:pt>
                <c:pt idx="2">
                  <c:v>4255656039.5599995</c:v>
                </c:pt>
                <c:pt idx="3">
                  <c:v>3929030973.6900001</c:v>
                </c:pt>
                <c:pt idx="4">
                  <c:v>6451373424.2999992</c:v>
                </c:pt>
                <c:pt idx="5">
                  <c:v>7969386532.3600006</c:v>
                </c:pt>
                <c:pt idx="6">
                  <c:v>7221907672.2800007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1-1241-94B9-764AE63C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592720"/>
        <c:axId val="343594448"/>
      </c:lineChart>
      <c:catAx>
        <c:axId val="3435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94448"/>
        <c:crosses val="autoZero"/>
        <c:auto val="1"/>
        <c:lblAlgn val="ctr"/>
        <c:lblOffset val="100"/>
        <c:noMultiLvlLbl val="0"/>
      </c:catAx>
      <c:valAx>
        <c:axId val="3435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[Simran_Cleaned_Data.xlsx]Primary Value!PivotTable4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Value'!$B$56:$B$57</c:f>
              <c:strCache>
                <c:ptCount val="1"/>
                <c:pt idx="0">
                  <c:v>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Value'!$A$58:$A$65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'Primary Value'!$B$58:$B$65</c:f>
              <c:numCache>
                <c:formatCode>General</c:formatCode>
                <c:ptCount val="7"/>
                <c:pt idx="0">
                  <c:v>415670742.30000001</c:v>
                </c:pt>
                <c:pt idx="1">
                  <c:v>515564027.10000002</c:v>
                </c:pt>
                <c:pt idx="2">
                  <c:v>1256750588</c:v>
                </c:pt>
                <c:pt idx="3">
                  <c:v>1818003348</c:v>
                </c:pt>
                <c:pt idx="4">
                  <c:v>1032854557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5-AF47-B682-6E48CD01285E}"/>
            </c:ext>
          </c:extLst>
        </c:ser>
        <c:ser>
          <c:idx val="1"/>
          <c:order val="1"/>
          <c:tx>
            <c:strRef>
              <c:f>'Primary Value'!$C$56:$C$57</c:f>
              <c:strCache>
                <c:ptCount val="1"/>
                <c:pt idx="0">
                  <c:v>Zimbabwe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'Primary Value'!$A$58:$A$65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'Primary Value'!$C$58:$C$65</c:f>
              <c:numCache>
                <c:formatCode>General</c:formatCode>
                <c:ptCount val="7"/>
                <c:pt idx="0">
                  <c:v>886025574.10000002</c:v>
                </c:pt>
                <c:pt idx="1">
                  <c:v>1141528997</c:v>
                </c:pt>
                <c:pt idx="2">
                  <c:v>1063914010</c:v>
                </c:pt>
                <c:pt idx="3">
                  <c:v>982257743.39999998</c:v>
                </c:pt>
                <c:pt idx="4">
                  <c:v>1612843356</c:v>
                </c:pt>
                <c:pt idx="5">
                  <c:v>1992346633</c:v>
                </c:pt>
                <c:pt idx="6">
                  <c:v>1805476918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5-AF47-B682-6E48CD01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383024"/>
        <c:axId val="2039725312"/>
      </c:barChart>
      <c:catAx>
        <c:axId val="204038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25312"/>
        <c:crosses val="autoZero"/>
        <c:auto val="1"/>
        <c:lblAlgn val="ctr"/>
        <c:lblOffset val="100"/>
        <c:noMultiLvlLbl val="0"/>
      </c:catAx>
      <c:valAx>
        <c:axId val="20397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[Simran_Cleaned_Data.xlsx]Quantity!PivotTable5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Quantity!$B$1:$B$2</c:f>
              <c:strCache>
                <c:ptCount val="1"/>
                <c:pt idx="0">
                  <c:v>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Quantity!$A$3:$A$10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Quantity!$B$3:$B$10</c:f>
              <c:numCache>
                <c:formatCode>General</c:formatCode>
                <c:ptCount val="7"/>
                <c:pt idx="0">
                  <c:v>42333.32</c:v>
                </c:pt>
                <c:pt idx="1">
                  <c:v>51152</c:v>
                </c:pt>
                <c:pt idx="2">
                  <c:v>115130.12399999998</c:v>
                </c:pt>
                <c:pt idx="3">
                  <c:v>98199</c:v>
                </c:pt>
                <c:pt idx="4">
                  <c:v>73776.959999999992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5-A44D-8B7D-75F552B66E3D}"/>
            </c:ext>
          </c:extLst>
        </c:ser>
        <c:ser>
          <c:idx val="1"/>
          <c:order val="1"/>
          <c:tx>
            <c:strRef>
              <c:f>Quantity!$C$1:$C$2</c:f>
              <c:strCache>
                <c:ptCount val="1"/>
                <c:pt idx="0">
                  <c:v>Zimbabwe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Quantity!$A$3:$A$10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Quantity!$C$3:$C$10</c:f>
              <c:numCache>
                <c:formatCode>General</c:formatCode>
                <c:ptCount val="7"/>
                <c:pt idx="0">
                  <c:v>87600.092000000004</c:v>
                </c:pt>
                <c:pt idx="1">
                  <c:v>112444</c:v>
                </c:pt>
                <c:pt idx="2">
                  <c:v>94320.72</c:v>
                </c:pt>
                <c:pt idx="3">
                  <c:v>149.98600000000002</c:v>
                </c:pt>
                <c:pt idx="4">
                  <c:v>90294.152000000002</c:v>
                </c:pt>
                <c:pt idx="5">
                  <c:v>142824.712</c:v>
                </c:pt>
                <c:pt idx="6">
                  <c:v>57887.72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5-A44D-8B7D-75F552B66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82095"/>
        <c:axId val="104087439"/>
      </c:barChart>
      <c:catAx>
        <c:axId val="10408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7439"/>
        <c:crosses val="autoZero"/>
        <c:auto val="1"/>
        <c:lblAlgn val="ctr"/>
        <c:lblOffset val="100"/>
        <c:noMultiLvlLbl val="0"/>
      </c:catAx>
      <c:valAx>
        <c:axId val="10408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[Simran_Cleaned_Data.xlsx]Quantity!PivotTable6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Quantity!$B$22:$B$23</c:f>
              <c:strCache>
                <c:ptCount val="1"/>
                <c:pt idx="0">
                  <c:v>Uganda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Quantity!$A$24:$A$31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Quantity!$B$24:$B$31</c:f>
              <c:numCache>
                <c:formatCode>General</c:formatCode>
                <c:ptCount val="7"/>
                <c:pt idx="0">
                  <c:v>3848.4836363636364</c:v>
                </c:pt>
                <c:pt idx="1">
                  <c:v>3653.7142857142858</c:v>
                </c:pt>
                <c:pt idx="2">
                  <c:v>9594.1769999999979</c:v>
                </c:pt>
                <c:pt idx="3">
                  <c:v>8927.181818181818</c:v>
                </c:pt>
                <c:pt idx="4">
                  <c:v>12296.159999999998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0-7B43-9A51-ED8BE0C1EE6F}"/>
            </c:ext>
          </c:extLst>
        </c:ser>
        <c:ser>
          <c:idx val="1"/>
          <c:order val="1"/>
          <c:tx>
            <c:strRef>
              <c:f>Quantity!$C$22:$C$23</c:f>
              <c:strCache>
                <c:ptCount val="1"/>
                <c:pt idx="0">
                  <c:v>Zimbabwe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Quantity!$A$24:$A$31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Quantity!$C$24:$C$31</c:f>
              <c:numCache>
                <c:formatCode>General</c:formatCode>
                <c:ptCount val="7"/>
                <c:pt idx="0">
                  <c:v>10950.011500000001</c:v>
                </c:pt>
                <c:pt idx="1">
                  <c:v>14055.5</c:v>
                </c:pt>
                <c:pt idx="2">
                  <c:v>11790.09</c:v>
                </c:pt>
                <c:pt idx="3">
                  <c:v>8.8227058823529418</c:v>
                </c:pt>
                <c:pt idx="4">
                  <c:v>11286.769</c:v>
                </c:pt>
                <c:pt idx="5">
                  <c:v>17853.089</c:v>
                </c:pt>
                <c:pt idx="6">
                  <c:v>9647.9533333333329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0-7B43-9A51-ED8BE0C1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48719"/>
        <c:axId val="104250431"/>
      </c:lineChart>
      <c:catAx>
        <c:axId val="1042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0431"/>
        <c:crosses val="autoZero"/>
        <c:auto val="1"/>
        <c:lblAlgn val="ctr"/>
        <c:lblOffset val="100"/>
        <c:noMultiLvlLbl val="0"/>
      </c:catAx>
      <c:valAx>
        <c:axId val="1042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[Simran_Cleaned_Data.xlsx]Quantity!PivotTable7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Quantity!$B$44:$B$45</c:f>
              <c:strCache>
                <c:ptCount val="1"/>
                <c:pt idx="0">
                  <c:v>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Quantity!$A$46:$A$53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Quantity!$B$46:$B$53</c:f>
              <c:numCache>
                <c:formatCode>General</c:formatCode>
                <c:ptCount val="7"/>
                <c:pt idx="0">
                  <c:v>10583.33</c:v>
                </c:pt>
                <c:pt idx="1">
                  <c:v>12788</c:v>
                </c:pt>
                <c:pt idx="2">
                  <c:v>28782.530999999999</c:v>
                </c:pt>
                <c:pt idx="3">
                  <c:v>32733</c:v>
                </c:pt>
                <c:pt idx="4">
                  <c:v>18444.240000000002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9-1E4C-9C35-67FDAEB89849}"/>
            </c:ext>
          </c:extLst>
        </c:ser>
        <c:ser>
          <c:idx val="1"/>
          <c:order val="1"/>
          <c:tx>
            <c:strRef>
              <c:f>Quantity!$C$44:$C$45</c:f>
              <c:strCache>
                <c:ptCount val="1"/>
                <c:pt idx="0">
                  <c:v>Zimbabwe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Quantity!$A$46:$A$53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Quantity!$C$46:$C$53</c:f>
              <c:numCache>
                <c:formatCode>General</c:formatCode>
                <c:ptCount val="7"/>
                <c:pt idx="0">
                  <c:v>21900.023000000001</c:v>
                </c:pt>
                <c:pt idx="1">
                  <c:v>28111</c:v>
                </c:pt>
                <c:pt idx="2">
                  <c:v>23580.18</c:v>
                </c:pt>
                <c:pt idx="3">
                  <c:v>74.930000000000007</c:v>
                </c:pt>
                <c:pt idx="4">
                  <c:v>22573.538</c:v>
                </c:pt>
                <c:pt idx="5">
                  <c:v>35706.178</c:v>
                </c:pt>
                <c:pt idx="6">
                  <c:v>28943.86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9-1E4C-9C35-67FDAEB89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430448"/>
        <c:axId val="1672570704"/>
      </c:barChart>
      <c:catAx>
        <c:axId val="21004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70704"/>
        <c:crosses val="autoZero"/>
        <c:auto val="1"/>
        <c:lblAlgn val="ctr"/>
        <c:lblOffset val="100"/>
        <c:noMultiLvlLbl val="0"/>
      </c:catAx>
      <c:valAx>
        <c:axId val="16725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43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[Simran_Cleaned_Data.xlsx]Price Per Qty!PivotTable8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Per Qty'!$B$1:$B$2</c:f>
              <c:strCache>
                <c:ptCount val="1"/>
                <c:pt idx="0">
                  <c:v>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Per Qty'!$A$3:$A$10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'Price Per Qty'!$B$3:$B$10</c:f>
              <c:numCache>
                <c:formatCode>General</c:formatCode>
                <c:ptCount val="7"/>
                <c:pt idx="0">
                  <c:v>342114.11939999997</c:v>
                </c:pt>
                <c:pt idx="1">
                  <c:v>407032.11632000003</c:v>
                </c:pt>
                <c:pt idx="2">
                  <c:v>407168.174467</c:v>
                </c:pt>
                <c:pt idx="3">
                  <c:v>#N/A</c:v>
                </c:pt>
                <c:pt idx="4">
                  <c:v>333173.06391999999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4-EC41-9AD8-340BF1E87749}"/>
            </c:ext>
          </c:extLst>
        </c:ser>
        <c:ser>
          <c:idx val="1"/>
          <c:order val="1"/>
          <c:tx>
            <c:strRef>
              <c:f>'Price Per Qty'!$C$1:$C$2</c:f>
              <c:strCache>
                <c:ptCount val="1"/>
                <c:pt idx="0">
                  <c:v>Zimbabwe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'Price Per Qty'!$A$3:$A$10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'Price Per Qty'!$C$3:$C$10</c:f>
              <c:numCache>
                <c:formatCode>General</c:formatCode>
                <c:ptCount val="7"/>
                <c:pt idx="0">
                  <c:v>245128.09351019998</c:v>
                </c:pt>
                <c:pt idx="1">
                  <c:v>322823.01780000003</c:v>
                </c:pt>
                <c:pt idx="2">
                  <c:v>367577.52176000003</c:v>
                </c:pt>
                <c:pt idx="3">
                  <c:v>#N/A</c:v>
                </c:pt>
                <c:pt idx="4">
                  <c:v>508816.56595999998</c:v>
                </c:pt>
                <c:pt idx="5">
                  <c:v>460374.41218000004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4-EC41-9AD8-340BF1E87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79183"/>
        <c:axId val="104449551"/>
      </c:barChart>
      <c:catAx>
        <c:axId val="10407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9551"/>
        <c:crosses val="autoZero"/>
        <c:auto val="1"/>
        <c:lblAlgn val="ctr"/>
        <c:lblOffset val="100"/>
        <c:noMultiLvlLbl val="0"/>
      </c:catAx>
      <c:valAx>
        <c:axId val="1044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7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[Simran_Cleaned_Data.xlsx]Price Per Qty!PivotTable9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Per Qty'!$B$17:$B$18</c:f>
              <c:strCache>
                <c:ptCount val="1"/>
                <c:pt idx="0">
                  <c:v>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Per Qty'!$A$19:$A$26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'Price Per Qty'!$B$19:$B$26</c:f>
              <c:numCache>
                <c:formatCode>General</c:formatCode>
                <c:ptCount val="7"/>
                <c:pt idx="0">
                  <c:v>342114.11939999997</c:v>
                </c:pt>
                <c:pt idx="1">
                  <c:v>407032.11632000003</c:v>
                </c:pt>
                <c:pt idx="2">
                  <c:v>407168.174467</c:v>
                </c:pt>
                <c:pt idx="3">
                  <c:v>166616.67069</c:v>
                </c:pt>
                <c:pt idx="4">
                  <c:v>333173.06391999999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5-6740-BC1E-27D7BD571B7E}"/>
            </c:ext>
          </c:extLst>
        </c:ser>
        <c:ser>
          <c:idx val="1"/>
          <c:order val="1"/>
          <c:tx>
            <c:strRef>
              <c:f>'Price Per Qty'!$C$17:$C$18</c:f>
              <c:strCache>
                <c:ptCount val="1"/>
                <c:pt idx="0">
                  <c:v>Zimbabwe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'Price Per Qty'!$A$19:$A$26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'Price Per Qty'!$C$19:$C$26</c:f>
              <c:numCache>
                <c:formatCode>General</c:formatCode>
                <c:ptCount val="7"/>
                <c:pt idx="0">
                  <c:v>245128.09351019998</c:v>
                </c:pt>
                <c:pt idx="1">
                  <c:v>322823.01780000003</c:v>
                </c:pt>
                <c:pt idx="2">
                  <c:v>367577.52176000003</c:v>
                </c:pt>
                <c:pt idx="3">
                  <c:v>126340.12546700001</c:v>
                </c:pt>
                <c:pt idx="4">
                  <c:v>508816.56595999998</c:v>
                </c:pt>
                <c:pt idx="5">
                  <c:v>460374.41218000004</c:v>
                </c:pt>
                <c:pt idx="6">
                  <c:v>123889.43252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5-6740-BC1E-27D7BD571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712256"/>
        <c:axId val="1571020960"/>
      </c:barChart>
      <c:catAx>
        <c:axId val="21007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20960"/>
        <c:crosses val="autoZero"/>
        <c:auto val="1"/>
        <c:lblAlgn val="ctr"/>
        <c:lblOffset val="100"/>
        <c:noMultiLvlLbl val="0"/>
      </c:catAx>
      <c:valAx>
        <c:axId val="15710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7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196850</xdr:rowOff>
    </xdr:from>
    <xdr:to>
      <xdr:col>10</xdr:col>
      <xdr:colOff>254000</xdr:colOff>
      <xdr:row>23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87ECC4-C0AD-CAAA-C94E-6B21D1049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29</xdr:row>
      <xdr:rowOff>6350</xdr:rowOff>
    </xdr:from>
    <xdr:to>
      <xdr:col>11</xdr:col>
      <xdr:colOff>88900</xdr:colOff>
      <xdr:row>51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7F0E80-8759-AD54-C6F3-9D274E1A5E3A}"/>
            </a:ext>
            <a:ext uri="{147F2762-F138-4A5C-976F-8EAC2B608ADB}">
              <a16:predDERef xmlns:a16="http://schemas.microsoft.com/office/drawing/2014/main" pred="{1987ECC4-C0AD-CAAA-C94E-6B21D1049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673100</xdr:colOff>
      <xdr:row>58</xdr:row>
      <xdr:rowOff>44450</xdr:rowOff>
    </xdr:from>
    <xdr:to>
      <xdr:col>11</xdr:col>
      <xdr:colOff>698500</xdr:colOff>
      <xdr:row>79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21214D3-522F-FF8A-860F-E9840828E587}"/>
            </a:ext>
            <a:ext uri="{147F2762-F138-4A5C-976F-8EAC2B608ADB}">
              <a16:predDERef xmlns:a16="http://schemas.microsoft.com/office/drawing/2014/main" pred="{E07F0E80-8759-AD54-C6F3-9D274E1A5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774700</xdr:colOff>
      <xdr:row>0</xdr:row>
      <xdr:rowOff>107950</xdr:rowOff>
    </xdr:from>
    <xdr:to>
      <xdr:col>14</xdr:col>
      <xdr:colOff>546100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1E766-F8B1-763D-16E6-DF65D7EA6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774700</xdr:colOff>
      <xdr:row>20</xdr:row>
      <xdr:rowOff>146050</xdr:rowOff>
    </xdr:from>
    <xdr:to>
      <xdr:col>17</xdr:col>
      <xdr:colOff>88900</xdr:colOff>
      <xdr:row>37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6E8B94-564C-5B1E-23E8-8E10193D7E75}"/>
            </a:ext>
            <a:ext uri="{147F2762-F138-4A5C-976F-8EAC2B608ADB}">
              <a16:predDERef xmlns:a16="http://schemas.microsoft.com/office/drawing/2014/main" pred="{A811E766-F8B1-763D-16E6-DF65D7EA6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165100</xdr:colOff>
      <xdr:row>42</xdr:row>
      <xdr:rowOff>95250</xdr:rowOff>
    </xdr:from>
    <xdr:to>
      <xdr:col>17</xdr:col>
      <xdr:colOff>546100</xdr:colOff>
      <xdr:row>64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721287-DC44-5800-632B-E196082C12F1}"/>
            </a:ext>
            <a:ext uri="{147F2762-F138-4A5C-976F-8EAC2B608ADB}">
              <a16:predDERef xmlns:a16="http://schemas.microsoft.com/office/drawing/2014/main" pred="{4E6E8B94-564C-5B1E-23E8-8E10193D7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660400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5B1B5-7318-74F8-F90B-D1090B860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22</xdr:row>
      <xdr:rowOff>177800</xdr:rowOff>
    </xdr:from>
    <xdr:to>
      <xdr:col>15</xdr:col>
      <xdr:colOff>736600</xdr:colOff>
      <xdr:row>42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8439B-ECDA-19F8-A156-7FC42DE50BDF}"/>
            </a:ext>
            <a:ext uri="{147F2762-F138-4A5C-976F-8EAC2B608ADB}">
              <a16:predDERef xmlns:a16="http://schemas.microsoft.com/office/drawing/2014/main" pred="{DC25B1B5-7318-74F8-F90B-D1090B860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" refreshedDate="45459.808813194446" createdVersion="8" refreshedVersion="8" minRefreshableVersion="3" recordCount="117" xr:uid="{2F0532F7-B4B0-6948-B0CC-011C7EE2E5E8}">
  <cacheSource type="worksheet">
    <worksheetSource ref="A1:H118" sheet="TradeData_2017_to_2023"/>
  </cacheSource>
  <cacheFields count="8">
    <cacheField name="Period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ReporterDesc" numFmtId="0">
      <sharedItems count="2">
        <s v="Zimbabwe"/>
        <s v="Uganda"/>
      </sharedItems>
    </cacheField>
    <cacheField name="PartnerDesc" numFmtId="0">
      <sharedItems/>
    </cacheField>
    <cacheField name="Partner2Desc" numFmtId="0">
      <sharedItems/>
    </cacheField>
    <cacheField name="CmdCode" numFmtId="0">
      <sharedItems containsSemiMixedTypes="0" containsString="0" containsNumber="1" containsInteger="1" minValue="7108" maxValue="710813"/>
    </cacheField>
    <cacheField name="Qty" numFmtId="0">
      <sharedItems containsSemiMixedTypes="0" containsString="0" containsNumber="1" minValue="0" maxValue="35706.178"/>
    </cacheField>
    <cacheField name="PrimaryValue" numFmtId="0">
      <sharedItems containsSemiMixedTypes="0" containsString="0" containsNumber="1" minValue="9.9700000000000006" maxValue="1992346633"/>
    </cacheField>
    <cacheField name="Price per Qty" numFmtId="0">
      <sharedItems containsMixedTypes="1" containsNumber="1" minValue="813.00813010000002" maxValue="71558.991810000007" count="54">
        <n v="40457.746279999999"/>
        <n v="40313.902829999999"/>
        <n v="40979.13665"/>
        <n v="813.00813010000002"/>
        <n v="40457.968939999999"/>
        <n v="40314.185899999997"/>
        <n v="39275.988019999997"/>
        <n v="42500.761229999996"/>
        <n v="41000.180370000002"/>
        <n v="42034.341999999997"/>
        <n v="3573.7386999999999"/>
        <n v="41046.348080000003"/>
        <n v="40607.911370000002"/>
        <n v="40697.544399999999"/>
        <n v="40533.669600000001"/>
        <n v="39572.383529999999"/>
        <n v="40316.236089999999"/>
        <n v="22408.563160000002"/>
        <n v="28293.530770000001"/>
        <n v="41448.75"/>
        <n v="40435.238069999999"/>
        <n v="19639.21"/>
        <n v="7916"/>
        <n v="40320.036999999997"/>
        <n v="34406.79"/>
        <n v="45118.994420000003"/>
        <n v="48469.22969"/>
        <n v="45115.018770000002"/>
        <n v="45085.517999999996"/>
        <n v="43663.657919999998"/>
        <n v="9970"/>
        <n v="41885.86"/>
        <n v="43860.552640000002"/>
        <n v="41682.4395"/>
        <n v="37396.029540000003"/>
        <n v="7646.6666670000004"/>
        <n v="43663.90857"/>
        <n v="43860.760130000002"/>
        <e v="#DIV/0!"/>
        <n v="1203.5714290000001"/>
        <n v="61364.705589999998"/>
        <n v="55538.890229999997"/>
        <n v="71448.40814"/>
        <n v="56233.767319999999"/>
        <n v="71558.991810000007"/>
        <n v="55167.115709999998"/>
        <n v="55998.75935"/>
        <n v="54582.236389999998"/>
        <n v="56005.536220000002"/>
        <n v="55798.372860000003"/>
        <n v="58393.041680000002"/>
        <n v="60218.943249999997"/>
        <n v="55776.848299999998"/>
        <n v="61944.71626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" refreshedDate="45460.041657407404" createdVersion="8" refreshedVersion="8" minRefreshableVersion="3" recordCount="93" xr:uid="{B81E76C6-9779-7B49-BA7B-138DA8F47FC4}">
  <cacheSource type="worksheet">
    <worksheetSource ref="A1:H94" sheet="TradeData_2017_to_2023_without "/>
  </cacheSource>
  <cacheFields count="8">
    <cacheField name="Period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ReporterDesc" numFmtId="0">
      <sharedItems count="2">
        <s v="Zimbabwe"/>
        <s v="Uganda"/>
      </sharedItems>
    </cacheField>
    <cacheField name="PartnerDesc" numFmtId="0">
      <sharedItems/>
    </cacheField>
    <cacheField name="Partner2Desc" numFmtId="0">
      <sharedItems/>
    </cacheField>
    <cacheField name="CmdCode" numFmtId="0">
      <sharedItems containsSemiMixedTypes="0" containsString="0" containsNumber="1" containsInteger="1" minValue="7108" maxValue="710813"/>
    </cacheField>
    <cacheField name="Qty" numFmtId="0">
      <sharedItems containsSemiMixedTypes="0" containsString="0" containsNumber="1" minValue="1E-3" maxValue="35706.178"/>
    </cacheField>
    <cacheField name="PrimaryValue" numFmtId="0">
      <sharedItems containsSemiMixedTypes="0" containsString="0" containsNumber="1" minValue="9.9700000000000006" maxValue="1992346633"/>
    </cacheField>
    <cacheField name="Price per Qty" numFmtId="0">
      <sharedItems containsSemiMixedTypes="0" containsString="0" containsNumber="1" minValue="813.00813010000002" maxValue="71558.99181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x v="0"/>
    <s v="World"/>
    <s v="World"/>
    <n v="7108"/>
    <n v="21900.023000000001"/>
    <n v="886025574.10000002"/>
    <x v="0"/>
  </r>
  <r>
    <x v="0"/>
    <x v="0"/>
    <s v="South Africa"/>
    <s v="World"/>
    <n v="7108"/>
    <n v="17164.582999999999"/>
    <n v="691971331.20000005"/>
    <x v="1"/>
  </r>
  <r>
    <x v="0"/>
    <x v="0"/>
    <s v="United Arab Emirates"/>
    <s v="World"/>
    <n v="7108"/>
    <n v="4735.4399999999996"/>
    <n v="194054242.90000001"/>
    <x v="2"/>
  </r>
  <r>
    <x v="0"/>
    <x v="0"/>
    <s v="World"/>
    <s v="World"/>
    <n v="710812"/>
    <n v="0.123"/>
    <n v="100"/>
    <x v="3"/>
  </r>
  <r>
    <x v="0"/>
    <x v="0"/>
    <s v="South Africa"/>
    <s v="World"/>
    <n v="710812"/>
    <n v="0.123"/>
    <n v="100"/>
    <x v="3"/>
  </r>
  <r>
    <x v="0"/>
    <x v="0"/>
    <s v="World"/>
    <s v="World"/>
    <n v="710813"/>
    <n v="21899.9"/>
    <n v="886025474.10000002"/>
    <x v="4"/>
  </r>
  <r>
    <x v="0"/>
    <x v="0"/>
    <s v="South Africa"/>
    <s v="World"/>
    <n v="710813"/>
    <n v="17164.46"/>
    <n v="691971231.20000005"/>
    <x v="5"/>
  </r>
  <r>
    <x v="0"/>
    <x v="0"/>
    <s v="United Arab Emirates"/>
    <s v="World"/>
    <n v="710813"/>
    <n v="4735.4399999999996"/>
    <n v="194054242.90000001"/>
    <x v="2"/>
  </r>
  <r>
    <x v="0"/>
    <x v="1"/>
    <s v="World"/>
    <s v="World"/>
    <n v="7108"/>
    <n v="10583.33"/>
    <n v="415670742.30000001"/>
    <x v="6"/>
  </r>
  <r>
    <x v="0"/>
    <x v="1"/>
    <s v="Belgium"/>
    <s v="World"/>
    <n v="7108"/>
    <n v="293"/>
    <n v="12452723.039999999"/>
    <x v="7"/>
  </r>
  <r>
    <x v="0"/>
    <x v="1"/>
    <s v="United Arab Emirates"/>
    <s v="World"/>
    <n v="7108"/>
    <n v="9765.33"/>
    <n v="400380291.39999998"/>
    <x v="8"/>
  </r>
  <r>
    <x v="0"/>
    <x v="1"/>
    <s v="Turkey"/>
    <s v="World"/>
    <n v="7108"/>
    <n v="25"/>
    <n v="1050858.55"/>
    <x v="9"/>
  </r>
  <r>
    <x v="0"/>
    <x v="1"/>
    <s v="USA"/>
    <s v="World"/>
    <n v="7108"/>
    <n v="500"/>
    <n v="1786869.35"/>
    <x v="10"/>
  </r>
  <r>
    <x v="0"/>
    <x v="1"/>
    <s v="World"/>
    <s v="World"/>
    <n v="710812"/>
    <n v="500"/>
    <n v="1786869.35"/>
    <x v="10"/>
  </r>
  <r>
    <x v="0"/>
    <x v="1"/>
    <s v="USA"/>
    <s v="World"/>
    <n v="710812"/>
    <n v="500"/>
    <n v="1786869.35"/>
    <x v="10"/>
  </r>
  <r>
    <x v="0"/>
    <x v="1"/>
    <s v="World"/>
    <s v="World"/>
    <n v="710813"/>
    <n v="10083.33"/>
    <n v="413883873"/>
    <x v="11"/>
  </r>
  <r>
    <x v="0"/>
    <x v="1"/>
    <s v="Belgium"/>
    <s v="World"/>
    <n v="710813"/>
    <n v="293"/>
    <n v="12452723.039999999"/>
    <x v="7"/>
  </r>
  <r>
    <x v="0"/>
    <x v="1"/>
    <s v="United Arab Emirates"/>
    <s v="World"/>
    <n v="710813"/>
    <n v="9765.33"/>
    <n v="400380291.39999998"/>
    <x v="8"/>
  </r>
  <r>
    <x v="0"/>
    <x v="1"/>
    <s v="Turkey"/>
    <s v="World"/>
    <n v="710813"/>
    <n v="25"/>
    <n v="1050858.55"/>
    <x v="9"/>
  </r>
  <r>
    <x v="1"/>
    <x v="0"/>
    <s v="World"/>
    <s v="World"/>
    <n v="7108"/>
    <n v="28111"/>
    <n v="1141528997"/>
    <x v="12"/>
  </r>
  <r>
    <x v="1"/>
    <x v="0"/>
    <s v="South Africa"/>
    <s v="World"/>
    <n v="7108"/>
    <n v="12984.7"/>
    <n v="528445404.80000001"/>
    <x v="13"/>
  </r>
  <r>
    <x v="1"/>
    <x v="0"/>
    <s v="United Arab Emirates"/>
    <s v="World"/>
    <n v="7108"/>
    <n v="15083.8"/>
    <n v="611401765.5"/>
    <x v="14"/>
  </r>
  <r>
    <x v="1"/>
    <x v="0"/>
    <s v="Areas, nes"/>
    <s v="World"/>
    <n v="7108"/>
    <n v="42.5"/>
    <n v="1681826.3"/>
    <x v="15"/>
  </r>
  <r>
    <x v="1"/>
    <x v="0"/>
    <s v="World"/>
    <s v="World"/>
    <n v="710813"/>
    <n v="28111"/>
    <n v="1141528997"/>
    <x v="12"/>
  </r>
  <r>
    <x v="1"/>
    <x v="0"/>
    <s v="South Africa"/>
    <s v="World"/>
    <n v="710813"/>
    <n v="12984.7"/>
    <n v="528445404.80000001"/>
    <x v="13"/>
  </r>
  <r>
    <x v="1"/>
    <x v="0"/>
    <s v="United Arab Emirates"/>
    <s v="World"/>
    <n v="710813"/>
    <n v="15083.8"/>
    <n v="611401765.5"/>
    <x v="14"/>
  </r>
  <r>
    <x v="1"/>
    <x v="0"/>
    <s v="Areas, nes"/>
    <s v="World"/>
    <n v="710813"/>
    <n v="42.5"/>
    <n v="1681826.3"/>
    <x v="15"/>
  </r>
  <r>
    <x v="1"/>
    <x v="1"/>
    <s v="World"/>
    <s v="World"/>
    <n v="7108"/>
    <n v="12788"/>
    <n v="515564027.10000002"/>
    <x v="16"/>
  </r>
  <r>
    <x v="1"/>
    <x v="1"/>
    <s v="Belgium"/>
    <s v="World"/>
    <n v="7108"/>
    <n v="79"/>
    <n v="1770276.49"/>
    <x v="17"/>
  </r>
  <r>
    <x v="1"/>
    <x v="1"/>
    <s v="China, Hong Kong SAR"/>
    <s v="World"/>
    <n v="7108"/>
    <n v="6.5"/>
    <n v="183907.95"/>
    <x v="18"/>
  </r>
  <r>
    <x v="1"/>
    <x v="1"/>
    <s v="India"/>
    <s v="World"/>
    <n v="7108"/>
    <n v="2"/>
    <n v="82897.5"/>
    <x v="19"/>
  </r>
  <r>
    <x v="1"/>
    <x v="1"/>
    <s v="United Arab Emirates"/>
    <s v="World"/>
    <n v="7108"/>
    <n v="12699.5"/>
    <n v="513507305.89999998"/>
    <x v="20"/>
  </r>
  <r>
    <x v="1"/>
    <x v="1"/>
    <s v="United Kingdom"/>
    <s v="World"/>
    <n v="7108"/>
    <n v="1"/>
    <n v="19639.21"/>
    <x v="21"/>
  </r>
  <r>
    <x v="1"/>
    <x v="1"/>
    <s v="World"/>
    <s v="World"/>
    <n v="710812"/>
    <n v="1.5"/>
    <n v="11874"/>
    <x v="22"/>
  </r>
  <r>
    <x v="1"/>
    <x v="1"/>
    <s v="China, Hong Kong SAR"/>
    <s v="World"/>
    <n v="710812"/>
    <n v="1.5"/>
    <n v="11874"/>
    <x v="22"/>
  </r>
  <r>
    <x v="1"/>
    <x v="1"/>
    <s v="World"/>
    <s v="World"/>
    <n v="710813"/>
    <n v="12786.5"/>
    <n v="515552153.10000002"/>
    <x v="23"/>
  </r>
  <r>
    <x v="1"/>
    <x v="1"/>
    <s v="Belgium"/>
    <s v="World"/>
    <n v="710813"/>
    <n v="79"/>
    <n v="1770276.49"/>
    <x v="17"/>
  </r>
  <r>
    <x v="1"/>
    <x v="1"/>
    <s v="China, Hong Kong SAR"/>
    <s v="World"/>
    <n v="710813"/>
    <n v="5"/>
    <n v="172033.95"/>
    <x v="24"/>
  </r>
  <r>
    <x v="1"/>
    <x v="1"/>
    <s v="India"/>
    <s v="World"/>
    <n v="710813"/>
    <n v="2"/>
    <n v="82897.5"/>
    <x v="19"/>
  </r>
  <r>
    <x v="1"/>
    <x v="1"/>
    <s v="United Arab Emirates"/>
    <s v="World"/>
    <n v="710813"/>
    <n v="12699.5"/>
    <n v="513507305.89999998"/>
    <x v="20"/>
  </r>
  <r>
    <x v="1"/>
    <x v="1"/>
    <s v="United Kingdom"/>
    <s v="World"/>
    <n v="710813"/>
    <n v="1"/>
    <n v="19639.21"/>
    <x v="21"/>
  </r>
  <r>
    <x v="2"/>
    <x v="0"/>
    <s v="World"/>
    <s v="World"/>
    <n v="7108"/>
    <n v="23580.18"/>
    <n v="1063914010"/>
    <x v="25"/>
  </r>
  <r>
    <x v="2"/>
    <x v="0"/>
    <s v="China, Hong Kong SAR"/>
    <s v="World"/>
    <n v="7108"/>
    <n v="153.72999999999999"/>
    <n v="7451174.6799999997"/>
    <x v="26"/>
  </r>
  <r>
    <x v="2"/>
    <x v="0"/>
    <s v="South Africa"/>
    <s v="World"/>
    <n v="7108"/>
    <n v="9125.25"/>
    <n v="411685825"/>
    <x v="27"/>
  </r>
  <r>
    <x v="2"/>
    <x v="0"/>
    <s v="United Arab Emirates"/>
    <s v="World"/>
    <n v="7108"/>
    <n v="14301.2"/>
    <n v="644777010.10000002"/>
    <x v="28"/>
  </r>
  <r>
    <x v="2"/>
    <x v="0"/>
    <s v="World"/>
    <s v="World"/>
    <n v="710813"/>
    <n v="23580.18"/>
    <n v="1063914010"/>
    <x v="25"/>
  </r>
  <r>
    <x v="2"/>
    <x v="0"/>
    <s v="China, Hong Kong SAR"/>
    <s v="World"/>
    <n v="710813"/>
    <n v="153.72999999999999"/>
    <n v="7451174.6799999997"/>
    <x v="26"/>
  </r>
  <r>
    <x v="2"/>
    <x v="0"/>
    <s v="South Africa"/>
    <s v="World"/>
    <n v="710813"/>
    <n v="9125.25"/>
    <n v="411685825"/>
    <x v="27"/>
  </r>
  <r>
    <x v="2"/>
    <x v="0"/>
    <s v="United Arab Emirates"/>
    <s v="World"/>
    <n v="710813"/>
    <n v="14301.2"/>
    <n v="644777010.10000002"/>
    <x v="28"/>
  </r>
  <r>
    <x v="2"/>
    <x v="1"/>
    <s v="World"/>
    <s v="World"/>
    <n v="7108"/>
    <n v="28782.530999999999"/>
    <n v="1256750588"/>
    <x v="29"/>
  </r>
  <r>
    <x v="2"/>
    <x v="1"/>
    <s v="China, Hong Kong SAR"/>
    <s v="World"/>
    <n v="7108"/>
    <n v="1E-3"/>
    <n v="9.9700000000000006"/>
    <x v="30"/>
  </r>
  <r>
    <x v="2"/>
    <x v="1"/>
    <s v="Viet Nam"/>
    <s v="World"/>
    <n v="7108"/>
    <n v="1"/>
    <n v="41885.86"/>
    <x v="31"/>
  </r>
  <r>
    <x v="2"/>
    <x v="1"/>
    <s v="United Arab Emirates"/>
    <s v="World"/>
    <n v="7108"/>
    <n v="26180.6"/>
    <n v="1148295585"/>
    <x v="32"/>
  </r>
  <r>
    <x v="2"/>
    <x v="1"/>
    <s v="Turkey"/>
    <s v="World"/>
    <n v="7108"/>
    <n v="2600.9299999999998"/>
    <n v="108413107.40000001"/>
    <x v="33"/>
  </r>
  <r>
    <x v="2"/>
    <x v="1"/>
    <s v="World"/>
    <s v="World"/>
    <n v="710812"/>
    <n v="1.151"/>
    <n v="43042.83"/>
    <x v="34"/>
  </r>
  <r>
    <x v="2"/>
    <x v="1"/>
    <s v="China, Hong Kong SAR"/>
    <s v="World"/>
    <n v="710812"/>
    <n v="1E-3"/>
    <n v="9.9700000000000006"/>
    <x v="30"/>
  </r>
  <r>
    <x v="2"/>
    <x v="1"/>
    <s v="Viet Nam"/>
    <s v="World"/>
    <n v="710812"/>
    <n v="1"/>
    <n v="41885.86"/>
    <x v="31"/>
  </r>
  <r>
    <x v="2"/>
    <x v="1"/>
    <s v="United Arab Emirates"/>
    <s v="World"/>
    <n v="710812"/>
    <n v="0.15"/>
    <n v="1147"/>
    <x v="35"/>
  </r>
  <r>
    <x v="2"/>
    <x v="1"/>
    <s v="World"/>
    <s v="World"/>
    <n v="710813"/>
    <n v="28781.38"/>
    <n v="1256707545"/>
    <x v="36"/>
  </r>
  <r>
    <x v="2"/>
    <x v="1"/>
    <s v="United Arab Emirates"/>
    <s v="World"/>
    <n v="710813"/>
    <n v="26180.45"/>
    <n v="1148294438"/>
    <x v="37"/>
  </r>
  <r>
    <x v="2"/>
    <x v="1"/>
    <s v="Turkey"/>
    <s v="World"/>
    <n v="710813"/>
    <n v="2600.9299999999998"/>
    <n v="108413107.40000001"/>
    <x v="33"/>
  </r>
  <r>
    <x v="3"/>
    <x v="0"/>
    <s v="World"/>
    <s v="World"/>
    <n v="7108"/>
    <n v="0"/>
    <n v="982257743.39999998"/>
    <x v="38"/>
  </r>
  <r>
    <x v="3"/>
    <x v="0"/>
    <s v="China"/>
    <s v="World"/>
    <n v="7108"/>
    <n v="4.2000000000000003E-2"/>
    <n v="50.55"/>
    <x v="39"/>
  </r>
  <r>
    <x v="3"/>
    <x v="0"/>
    <s v="China, Hong Kong SAR"/>
    <s v="World"/>
    <n v="7108"/>
    <n v="0"/>
    <n v="17685354.300000001"/>
    <x v="38"/>
  </r>
  <r>
    <x v="3"/>
    <x v="0"/>
    <s v="Mozambique"/>
    <s v="World"/>
    <n v="7108"/>
    <n v="74.930000000000007"/>
    <n v="4598057.3899999997"/>
    <x v="40"/>
  </r>
  <r>
    <x v="3"/>
    <x v="0"/>
    <s v="South Africa"/>
    <s v="World"/>
    <n v="7108"/>
    <n v="0"/>
    <n v="83447143.920000002"/>
    <x v="38"/>
  </r>
  <r>
    <x v="3"/>
    <x v="0"/>
    <s v="United Arab Emirates"/>
    <s v="World"/>
    <n v="7108"/>
    <n v="0"/>
    <n v="739182243.70000005"/>
    <x v="38"/>
  </r>
  <r>
    <x v="3"/>
    <x v="0"/>
    <s v="Uganda"/>
    <s v="World"/>
    <n v="7108"/>
    <n v="0"/>
    <n v="127193890"/>
    <x v="38"/>
  </r>
  <r>
    <x v="3"/>
    <x v="0"/>
    <s v="Ukraine"/>
    <s v="World"/>
    <n v="7108"/>
    <n v="0"/>
    <n v="10151003.560000001"/>
    <x v="38"/>
  </r>
  <r>
    <x v="3"/>
    <x v="0"/>
    <s v="World"/>
    <s v="World"/>
    <n v="710812"/>
    <n v="4.2000000000000003E-2"/>
    <n v="50.55"/>
    <x v="39"/>
  </r>
  <r>
    <x v="3"/>
    <x v="0"/>
    <s v="China"/>
    <s v="World"/>
    <n v="710812"/>
    <n v="4.2000000000000003E-2"/>
    <n v="50.55"/>
    <x v="39"/>
  </r>
  <r>
    <x v="3"/>
    <x v="0"/>
    <s v="World"/>
    <s v="World"/>
    <n v="710813"/>
    <n v="0"/>
    <n v="982257692.89999998"/>
    <x v="38"/>
  </r>
  <r>
    <x v="3"/>
    <x v="0"/>
    <s v="China, Hong Kong SAR"/>
    <s v="World"/>
    <n v="710813"/>
    <n v="0"/>
    <n v="17685354.300000001"/>
    <x v="38"/>
  </r>
  <r>
    <x v="3"/>
    <x v="0"/>
    <s v="Mozambique"/>
    <s v="World"/>
    <n v="710813"/>
    <n v="74.930000000000007"/>
    <n v="4598057.3899999997"/>
    <x v="40"/>
  </r>
  <r>
    <x v="3"/>
    <x v="0"/>
    <s v="South Africa"/>
    <s v="World"/>
    <n v="710813"/>
    <n v="0"/>
    <n v="83447143.920000002"/>
    <x v="38"/>
  </r>
  <r>
    <x v="3"/>
    <x v="0"/>
    <s v="United Arab Emirates"/>
    <s v="World"/>
    <n v="710813"/>
    <n v="0"/>
    <n v="739182243.70000005"/>
    <x v="38"/>
  </r>
  <r>
    <x v="3"/>
    <x v="0"/>
    <s v="Uganda"/>
    <s v="World"/>
    <n v="710813"/>
    <n v="0"/>
    <n v="127193890"/>
    <x v="38"/>
  </r>
  <r>
    <x v="3"/>
    <x v="0"/>
    <s v="Ukraine"/>
    <s v="World"/>
    <n v="710813"/>
    <n v="0"/>
    <n v="10151003.560000001"/>
    <x v="38"/>
  </r>
  <r>
    <x v="3"/>
    <x v="1"/>
    <s v="World"/>
    <s v="World"/>
    <n v="7108"/>
    <n v="0"/>
    <n v="1818003348"/>
    <x v="38"/>
  </r>
  <r>
    <x v="3"/>
    <x v="1"/>
    <s v="China, Hong Kong SAR"/>
    <s v="World"/>
    <n v="7108"/>
    <n v="0"/>
    <n v="28723"/>
    <x v="38"/>
  </r>
  <r>
    <x v="3"/>
    <x v="1"/>
    <s v="Philippines"/>
    <s v="World"/>
    <n v="7108"/>
    <n v="0"/>
    <n v="18245"/>
    <x v="38"/>
  </r>
  <r>
    <x v="3"/>
    <x v="1"/>
    <s v="United Arab Emirates"/>
    <s v="World"/>
    <n v="7108"/>
    <n v="32733"/>
    <n v="1817954494"/>
    <x v="41"/>
  </r>
  <r>
    <x v="3"/>
    <x v="1"/>
    <s v="USA"/>
    <s v="World"/>
    <n v="7108"/>
    <n v="0"/>
    <n v="1886"/>
    <x v="38"/>
  </r>
  <r>
    <x v="3"/>
    <x v="1"/>
    <s v="World"/>
    <s v="World"/>
    <n v="710812"/>
    <n v="0"/>
    <n v="48854"/>
    <x v="38"/>
  </r>
  <r>
    <x v="3"/>
    <x v="1"/>
    <s v="China, Hong Kong SAR"/>
    <s v="World"/>
    <n v="710812"/>
    <n v="0"/>
    <n v="28723"/>
    <x v="38"/>
  </r>
  <r>
    <x v="3"/>
    <x v="1"/>
    <s v="Philippines"/>
    <s v="World"/>
    <n v="710812"/>
    <n v="0"/>
    <n v="18245"/>
    <x v="38"/>
  </r>
  <r>
    <x v="3"/>
    <x v="1"/>
    <s v="USA"/>
    <s v="World"/>
    <n v="710812"/>
    <n v="0"/>
    <n v="1886"/>
    <x v="38"/>
  </r>
  <r>
    <x v="3"/>
    <x v="1"/>
    <s v="World"/>
    <s v="World"/>
    <n v="710813"/>
    <n v="32733"/>
    <n v="1817954494"/>
    <x v="41"/>
  </r>
  <r>
    <x v="3"/>
    <x v="1"/>
    <s v="United Arab Emirates"/>
    <s v="World"/>
    <n v="710813"/>
    <n v="32733"/>
    <n v="1817954494"/>
    <x v="41"/>
  </r>
  <r>
    <x v="4"/>
    <x v="0"/>
    <s v="World"/>
    <s v="World"/>
    <n v="7108"/>
    <n v="22573.538"/>
    <n v="1612843356"/>
    <x v="42"/>
  </r>
  <r>
    <x v="4"/>
    <x v="0"/>
    <s v="Mozambique"/>
    <s v="World"/>
    <n v="7108"/>
    <n v="82.328999999999994"/>
    <n v="4629669.83"/>
    <x v="43"/>
  </r>
  <r>
    <x v="4"/>
    <x v="0"/>
    <s v="United Arab Emirates"/>
    <s v="World"/>
    <n v="7108"/>
    <n v="22415.894"/>
    <n v="1604058775"/>
    <x v="44"/>
  </r>
  <r>
    <x v="4"/>
    <x v="0"/>
    <s v="Uganda"/>
    <s v="World"/>
    <n v="7108"/>
    <n v="75.314999999999998"/>
    <n v="4154911.32"/>
    <x v="45"/>
  </r>
  <r>
    <x v="4"/>
    <x v="0"/>
    <s v="World"/>
    <s v="World"/>
    <n v="710813"/>
    <n v="22573.538"/>
    <n v="1612843356"/>
    <x v="42"/>
  </r>
  <r>
    <x v="4"/>
    <x v="0"/>
    <s v="Mozambique"/>
    <s v="World"/>
    <n v="710813"/>
    <n v="82.328999999999994"/>
    <n v="4629669.83"/>
    <x v="43"/>
  </r>
  <r>
    <x v="4"/>
    <x v="0"/>
    <s v="United Arab Emirates"/>
    <s v="World"/>
    <n v="710813"/>
    <n v="22415.894"/>
    <n v="1604058775"/>
    <x v="44"/>
  </r>
  <r>
    <x v="4"/>
    <x v="0"/>
    <s v="Uganda"/>
    <s v="World"/>
    <n v="710813"/>
    <n v="75.314999999999998"/>
    <n v="4154911.32"/>
    <x v="45"/>
  </r>
  <r>
    <x v="4"/>
    <x v="1"/>
    <s v="World"/>
    <s v="World"/>
    <n v="7108"/>
    <n v="18444.240000000002"/>
    <n v="1032854557"/>
    <x v="46"/>
  </r>
  <r>
    <x v="4"/>
    <x v="1"/>
    <s v="United Arab Emirates"/>
    <s v="World"/>
    <n v="7108"/>
    <n v="18444.240000000002"/>
    <n v="1032854557"/>
    <x v="46"/>
  </r>
  <r>
    <x v="4"/>
    <x v="1"/>
    <s v="World"/>
    <s v="World"/>
    <n v="710812"/>
    <n v="87.82"/>
    <n v="4793412"/>
    <x v="47"/>
  </r>
  <r>
    <x v="4"/>
    <x v="1"/>
    <s v="United Arab Emirates"/>
    <s v="World"/>
    <n v="710812"/>
    <n v="87.82"/>
    <n v="4793412"/>
    <x v="47"/>
  </r>
  <r>
    <x v="4"/>
    <x v="1"/>
    <s v="World"/>
    <s v="World"/>
    <n v="710813"/>
    <n v="18356.419999999998"/>
    <n v="1028061145"/>
    <x v="48"/>
  </r>
  <r>
    <x v="4"/>
    <x v="1"/>
    <s v="United Arab Emirates"/>
    <s v="World"/>
    <n v="710813"/>
    <n v="18356.419999999998"/>
    <n v="1028061145"/>
    <x v="48"/>
  </r>
  <r>
    <x v="5"/>
    <x v="0"/>
    <s v="World"/>
    <s v="World"/>
    <n v="7108"/>
    <n v="35706.178"/>
    <n v="1992346633"/>
    <x v="49"/>
  </r>
  <r>
    <x v="5"/>
    <x v="0"/>
    <s v="China, Hong Kong SAR"/>
    <s v="World"/>
    <n v="7108"/>
    <n v="5.0860000000000003"/>
    <n v="296987.01"/>
    <x v="50"/>
  </r>
  <r>
    <x v="5"/>
    <x v="0"/>
    <s v="Mozambique"/>
    <s v="World"/>
    <n v="7108"/>
    <n v="170.02199999999999"/>
    <n v="10238545.17"/>
    <x v="51"/>
  </r>
  <r>
    <x v="5"/>
    <x v="0"/>
    <s v="United Arab Emirates"/>
    <s v="World"/>
    <n v="7108"/>
    <n v="35531.07"/>
    <n v="1981811101"/>
    <x v="52"/>
  </r>
  <r>
    <x v="5"/>
    <x v="0"/>
    <s v="World"/>
    <s v="World"/>
    <n v="710813"/>
    <n v="35706.178"/>
    <n v="1992346633"/>
    <x v="49"/>
  </r>
  <r>
    <x v="5"/>
    <x v="0"/>
    <s v="China, Hong Kong SAR"/>
    <s v="World"/>
    <n v="710813"/>
    <n v="5.0860000000000003"/>
    <n v="296987.01"/>
    <x v="50"/>
  </r>
  <r>
    <x v="5"/>
    <x v="0"/>
    <s v="Mozambique"/>
    <s v="World"/>
    <n v="710813"/>
    <n v="170.02199999999999"/>
    <n v="10238545.17"/>
    <x v="51"/>
  </r>
  <r>
    <x v="5"/>
    <x v="0"/>
    <s v="United Arab Emirates"/>
    <s v="World"/>
    <n v="710813"/>
    <n v="35531.07"/>
    <n v="1981811101"/>
    <x v="52"/>
  </r>
  <r>
    <x v="6"/>
    <x v="0"/>
    <s v="World"/>
    <s v="World"/>
    <n v="7108"/>
    <n v="0"/>
    <n v="1805476918"/>
    <x v="38"/>
  </r>
  <r>
    <x v="6"/>
    <x v="0"/>
    <s v="Mozambique"/>
    <s v="World"/>
    <n v="7108"/>
    <n v="0"/>
    <n v="12557723.140000001"/>
    <x v="38"/>
  </r>
  <r>
    <x v="6"/>
    <x v="0"/>
    <s v="United Arab Emirates"/>
    <s v="World"/>
    <n v="7108"/>
    <n v="28943.86"/>
    <n v="1792919195"/>
    <x v="53"/>
  </r>
  <r>
    <x v="6"/>
    <x v="0"/>
    <s v="World"/>
    <s v="World"/>
    <n v="710813"/>
    <n v="0"/>
    <n v="1805476918"/>
    <x v="38"/>
  </r>
  <r>
    <x v="6"/>
    <x v="0"/>
    <s v="Mozambique"/>
    <s v="World"/>
    <n v="710813"/>
    <n v="0"/>
    <n v="12557723.140000001"/>
    <x v="38"/>
  </r>
  <r>
    <x v="6"/>
    <x v="0"/>
    <s v="United Arab Emirates"/>
    <s v="World"/>
    <n v="710813"/>
    <n v="28943.86"/>
    <n v="1792919195"/>
    <x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World"/>
    <s v="World"/>
    <n v="7108"/>
    <n v="21900.023000000001"/>
    <n v="886025574.10000002"/>
    <n v="40457.746279999999"/>
  </r>
  <r>
    <x v="0"/>
    <x v="0"/>
    <s v="South Africa"/>
    <s v="World"/>
    <n v="7108"/>
    <n v="17164.582999999999"/>
    <n v="691971331.20000005"/>
    <n v="40313.902829999999"/>
  </r>
  <r>
    <x v="0"/>
    <x v="0"/>
    <s v="United Arab Emirates"/>
    <s v="World"/>
    <n v="7108"/>
    <n v="4735.4399999999996"/>
    <n v="194054242.90000001"/>
    <n v="40979.13665"/>
  </r>
  <r>
    <x v="0"/>
    <x v="0"/>
    <s v="World"/>
    <s v="World"/>
    <n v="710812"/>
    <n v="0.123"/>
    <n v="100"/>
    <n v="813.00813010000002"/>
  </r>
  <r>
    <x v="0"/>
    <x v="0"/>
    <s v="South Africa"/>
    <s v="World"/>
    <n v="710812"/>
    <n v="0.123"/>
    <n v="100"/>
    <n v="813.00813010000002"/>
  </r>
  <r>
    <x v="0"/>
    <x v="0"/>
    <s v="World"/>
    <s v="World"/>
    <n v="710813"/>
    <n v="21899.9"/>
    <n v="886025474.10000002"/>
    <n v="40457.968939999999"/>
  </r>
  <r>
    <x v="0"/>
    <x v="0"/>
    <s v="South Africa"/>
    <s v="World"/>
    <n v="710813"/>
    <n v="17164.46"/>
    <n v="691971231.20000005"/>
    <n v="40314.185899999997"/>
  </r>
  <r>
    <x v="0"/>
    <x v="0"/>
    <s v="United Arab Emirates"/>
    <s v="World"/>
    <n v="710813"/>
    <n v="4735.4399999999996"/>
    <n v="194054242.90000001"/>
    <n v="40979.13665"/>
  </r>
  <r>
    <x v="0"/>
    <x v="1"/>
    <s v="World"/>
    <s v="World"/>
    <n v="7108"/>
    <n v="10583.33"/>
    <n v="415670742.30000001"/>
    <n v="39275.988019999997"/>
  </r>
  <r>
    <x v="0"/>
    <x v="1"/>
    <s v="Belgium"/>
    <s v="World"/>
    <n v="7108"/>
    <n v="293"/>
    <n v="12452723.039999999"/>
    <n v="42500.761229999996"/>
  </r>
  <r>
    <x v="0"/>
    <x v="1"/>
    <s v="United Arab Emirates"/>
    <s v="World"/>
    <n v="7108"/>
    <n v="9765.33"/>
    <n v="400380291.39999998"/>
    <n v="41000.180370000002"/>
  </r>
  <r>
    <x v="0"/>
    <x v="1"/>
    <s v="Turkey"/>
    <s v="World"/>
    <n v="7108"/>
    <n v="25"/>
    <n v="1050858.55"/>
    <n v="42034.341999999997"/>
  </r>
  <r>
    <x v="0"/>
    <x v="1"/>
    <s v="USA"/>
    <s v="World"/>
    <n v="7108"/>
    <n v="500"/>
    <n v="1786869.35"/>
    <n v="3573.7386999999999"/>
  </r>
  <r>
    <x v="0"/>
    <x v="1"/>
    <s v="World"/>
    <s v="World"/>
    <n v="710812"/>
    <n v="500"/>
    <n v="1786869.35"/>
    <n v="3573.7386999999999"/>
  </r>
  <r>
    <x v="0"/>
    <x v="1"/>
    <s v="USA"/>
    <s v="World"/>
    <n v="710812"/>
    <n v="500"/>
    <n v="1786869.35"/>
    <n v="3573.7386999999999"/>
  </r>
  <r>
    <x v="0"/>
    <x v="1"/>
    <s v="World"/>
    <s v="World"/>
    <n v="710813"/>
    <n v="10083.33"/>
    <n v="413883873"/>
    <n v="41046.348080000003"/>
  </r>
  <r>
    <x v="0"/>
    <x v="1"/>
    <s v="Belgium"/>
    <s v="World"/>
    <n v="710813"/>
    <n v="293"/>
    <n v="12452723.039999999"/>
    <n v="42500.761229999996"/>
  </r>
  <r>
    <x v="0"/>
    <x v="1"/>
    <s v="United Arab Emirates"/>
    <s v="World"/>
    <n v="710813"/>
    <n v="9765.33"/>
    <n v="400380291.39999998"/>
    <n v="41000.180370000002"/>
  </r>
  <r>
    <x v="0"/>
    <x v="1"/>
    <s v="Turkey"/>
    <s v="World"/>
    <n v="710813"/>
    <n v="25"/>
    <n v="1050858.55"/>
    <n v="42034.341999999997"/>
  </r>
  <r>
    <x v="1"/>
    <x v="0"/>
    <s v="World"/>
    <s v="World"/>
    <n v="7108"/>
    <n v="28111"/>
    <n v="1141528997"/>
    <n v="40607.911370000002"/>
  </r>
  <r>
    <x v="1"/>
    <x v="0"/>
    <s v="South Africa"/>
    <s v="World"/>
    <n v="7108"/>
    <n v="12984.7"/>
    <n v="528445404.80000001"/>
    <n v="40697.544399999999"/>
  </r>
  <r>
    <x v="1"/>
    <x v="0"/>
    <s v="United Arab Emirates"/>
    <s v="World"/>
    <n v="7108"/>
    <n v="15083.8"/>
    <n v="611401765.5"/>
    <n v="40533.669600000001"/>
  </r>
  <r>
    <x v="1"/>
    <x v="0"/>
    <s v="Areas, nes"/>
    <s v="World"/>
    <n v="7108"/>
    <n v="42.5"/>
    <n v="1681826.3"/>
    <n v="39572.383529999999"/>
  </r>
  <r>
    <x v="1"/>
    <x v="0"/>
    <s v="World"/>
    <s v="World"/>
    <n v="710813"/>
    <n v="28111"/>
    <n v="1141528997"/>
    <n v="40607.911370000002"/>
  </r>
  <r>
    <x v="1"/>
    <x v="0"/>
    <s v="South Africa"/>
    <s v="World"/>
    <n v="710813"/>
    <n v="12984.7"/>
    <n v="528445404.80000001"/>
    <n v="40697.544399999999"/>
  </r>
  <r>
    <x v="1"/>
    <x v="0"/>
    <s v="United Arab Emirates"/>
    <s v="World"/>
    <n v="710813"/>
    <n v="15083.8"/>
    <n v="611401765.5"/>
    <n v="40533.669600000001"/>
  </r>
  <r>
    <x v="1"/>
    <x v="0"/>
    <s v="Areas, nes"/>
    <s v="World"/>
    <n v="710813"/>
    <n v="42.5"/>
    <n v="1681826.3"/>
    <n v="39572.383529999999"/>
  </r>
  <r>
    <x v="1"/>
    <x v="1"/>
    <s v="World"/>
    <s v="World"/>
    <n v="7108"/>
    <n v="12788"/>
    <n v="515564027.10000002"/>
    <n v="40316.236089999999"/>
  </r>
  <r>
    <x v="1"/>
    <x v="1"/>
    <s v="Belgium"/>
    <s v="World"/>
    <n v="7108"/>
    <n v="79"/>
    <n v="1770276.49"/>
    <n v="22408.563160000002"/>
  </r>
  <r>
    <x v="1"/>
    <x v="1"/>
    <s v="China, Hong Kong SAR"/>
    <s v="World"/>
    <n v="7108"/>
    <n v="6.5"/>
    <n v="183907.95"/>
    <n v="28293.530770000001"/>
  </r>
  <r>
    <x v="1"/>
    <x v="1"/>
    <s v="India"/>
    <s v="World"/>
    <n v="7108"/>
    <n v="2"/>
    <n v="82897.5"/>
    <n v="41448.75"/>
  </r>
  <r>
    <x v="1"/>
    <x v="1"/>
    <s v="United Arab Emirates"/>
    <s v="World"/>
    <n v="7108"/>
    <n v="12699.5"/>
    <n v="513507305.89999998"/>
    <n v="40435.238069999999"/>
  </r>
  <r>
    <x v="1"/>
    <x v="1"/>
    <s v="United Kingdom"/>
    <s v="World"/>
    <n v="7108"/>
    <n v="1"/>
    <n v="19639.21"/>
    <n v="19639.21"/>
  </r>
  <r>
    <x v="1"/>
    <x v="1"/>
    <s v="World"/>
    <s v="World"/>
    <n v="710812"/>
    <n v="1.5"/>
    <n v="11874"/>
    <n v="7916"/>
  </r>
  <r>
    <x v="1"/>
    <x v="1"/>
    <s v="China, Hong Kong SAR"/>
    <s v="World"/>
    <n v="710812"/>
    <n v="1.5"/>
    <n v="11874"/>
    <n v="7916"/>
  </r>
  <r>
    <x v="1"/>
    <x v="1"/>
    <s v="World"/>
    <s v="World"/>
    <n v="710813"/>
    <n v="12786.5"/>
    <n v="515552153.10000002"/>
    <n v="40320.036999999997"/>
  </r>
  <r>
    <x v="1"/>
    <x v="1"/>
    <s v="Belgium"/>
    <s v="World"/>
    <n v="710813"/>
    <n v="79"/>
    <n v="1770276.49"/>
    <n v="22408.563160000002"/>
  </r>
  <r>
    <x v="1"/>
    <x v="1"/>
    <s v="China, Hong Kong SAR"/>
    <s v="World"/>
    <n v="710813"/>
    <n v="5"/>
    <n v="172033.95"/>
    <n v="34406.79"/>
  </r>
  <r>
    <x v="1"/>
    <x v="1"/>
    <s v="India"/>
    <s v="World"/>
    <n v="710813"/>
    <n v="2"/>
    <n v="82897.5"/>
    <n v="41448.75"/>
  </r>
  <r>
    <x v="1"/>
    <x v="1"/>
    <s v="United Arab Emirates"/>
    <s v="World"/>
    <n v="710813"/>
    <n v="12699.5"/>
    <n v="513507305.89999998"/>
    <n v="40435.238069999999"/>
  </r>
  <r>
    <x v="1"/>
    <x v="1"/>
    <s v="United Kingdom"/>
    <s v="World"/>
    <n v="710813"/>
    <n v="1"/>
    <n v="19639.21"/>
    <n v="19639.21"/>
  </r>
  <r>
    <x v="2"/>
    <x v="0"/>
    <s v="World"/>
    <s v="World"/>
    <n v="7108"/>
    <n v="23580.18"/>
    <n v="1063914010"/>
    <n v="45118.994420000003"/>
  </r>
  <r>
    <x v="2"/>
    <x v="0"/>
    <s v="China, Hong Kong SAR"/>
    <s v="World"/>
    <n v="7108"/>
    <n v="153.72999999999999"/>
    <n v="7451174.6799999997"/>
    <n v="48469.22969"/>
  </r>
  <r>
    <x v="2"/>
    <x v="0"/>
    <s v="South Africa"/>
    <s v="World"/>
    <n v="7108"/>
    <n v="9125.25"/>
    <n v="411685825"/>
    <n v="45115.018770000002"/>
  </r>
  <r>
    <x v="2"/>
    <x v="0"/>
    <s v="United Arab Emirates"/>
    <s v="World"/>
    <n v="7108"/>
    <n v="14301.2"/>
    <n v="644777010.10000002"/>
    <n v="45085.517999999996"/>
  </r>
  <r>
    <x v="2"/>
    <x v="0"/>
    <s v="World"/>
    <s v="World"/>
    <n v="710813"/>
    <n v="23580.18"/>
    <n v="1063914010"/>
    <n v="45118.994420000003"/>
  </r>
  <r>
    <x v="2"/>
    <x v="0"/>
    <s v="China, Hong Kong SAR"/>
    <s v="World"/>
    <n v="710813"/>
    <n v="153.72999999999999"/>
    <n v="7451174.6799999997"/>
    <n v="48469.22969"/>
  </r>
  <r>
    <x v="2"/>
    <x v="0"/>
    <s v="South Africa"/>
    <s v="World"/>
    <n v="710813"/>
    <n v="9125.25"/>
    <n v="411685825"/>
    <n v="45115.018770000002"/>
  </r>
  <r>
    <x v="2"/>
    <x v="0"/>
    <s v="United Arab Emirates"/>
    <s v="World"/>
    <n v="710813"/>
    <n v="14301.2"/>
    <n v="644777010.10000002"/>
    <n v="45085.517999999996"/>
  </r>
  <r>
    <x v="2"/>
    <x v="1"/>
    <s v="World"/>
    <s v="World"/>
    <n v="7108"/>
    <n v="28782.530999999999"/>
    <n v="1256750588"/>
    <n v="43663.657919999998"/>
  </r>
  <r>
    <x v="2"/>
    <x v="1"/>
    <s v="China, Hong Kong SAR"/>
    <s v="World"/>
    <n v="7108"/>
    <n v="1E-3"/>
    <n v="9.9700000000000006"/>
    <n v="9970"/>
  </r>
  <r>
    <x v="2"/>
    <x v="1"/>
    <s v="Viet Nam"/>
    <s v="World"/>
    <n v="7108"/>
    <n v="1"/>
    <n v="41885.86"/>
    <n v="41885.86"/>
  </r>
  <r>
    <x v="2"/>
    <x v="1"/>
    <s v="United Arab Emirates"/>
    <s v="World"/>
    <n v="7108"/>
    <n v="26180.6"/>
    <n v="1148295585"/>
    <n v="43860.552640000002"/>
  </r>
  <r>
    <x v="2"/>
    <x v="1"/>
    <s v="Turkey"/>
    <s v="World"/>
    <n v="7108"/>
    <n v="2600.9299999999998"/>
    <n v="108413107.40000001"/>
    <n v="41682.4395"/>
  </r>
  <r>
    <x v="2"/>
    <x v="1"/>
    <s v="World"/>
    <s v="World"/>
    <n v="710812"/>
    <n v="1.151"/>
    <n v="43042.83"/>
    <n v="37396.029540000003"/>
  </r>
  <r>
    <x v="2"/>
    <x v="1"/>
    <s v="China, Hong Kong SAR"/>
    <s v="World"/>
    <n v="710812"/>
    <n v="1E-3"/>
    <n v="9.9700000000000006"/>
    <n v="9970"/>
  </r>
  <r>
    <x v="2"/>
    <x v="1"/>
    <s v="Viet Nam"/>
    <s v="World"/>
    <n v="710812"/>
    <n v="1"/>
    <n v="41885.86"/>
    <n v="41885.86"/>
  </r>
  <r>
    <x v="2"/>
    <x v="1"/>
    <s v="United Arab Emirates"/>
    <s v="World"/>
    <n v="710812"/>
    <n v="0.15"/>
    <n v="1147"/>
    <n v="7646.6666670000004"/>
  </r>
  <r>
    <x v="2"/>
    <x v="1"/>
    <s v="World"/>
    <s v="World"/>
    <n v="710813"/>
    <n v="28781.38"/>
    <n v="1256707545"/>
    <n v="43663.90857"/>
  </r>
  <r>
    <x v="2"/>
    <x v="1"/>
    <s v="United Arab Emirates"/>
    <s v="World"/>
    <n v="710813"/>
    <n v="26180.45"/>
    <n v="1148294438"/>
    <n v="43860.760130000002"/>
  </r>
  <r>
    <x v="2"/>
    <x v="1"/>
    <s v="Turkey"/>
    <s v="World"/>
    <n v="710813"/>
    <n v="2600.9299999999998"/>
    <n v="108413107.40000001"/>
    <n v="41682.4395"/>
  </r>
  <r>
    <x v="3"/>
    <x v="0"/>
    <s v="China"/>
    <s v="World"/>
    <n v="7108"/>
    <n v="4.2000000000000003E-2"/>
    <n v="50.55"/>
    <n v="1203.5714290000001"/>
  </r>
  <r>
    <x v="3"/>
    <x v="0"/>
    <s v="Mozambique"/>
    <s v="World"/>
    <n v="7108"/>
    <n v="74.930000000000007"/>
    <n v="4598057.3899999997"/>
    <n v="61364.705589999998"/>
  </r>
  <r>
    <x v="3"/>
    <x v="0"/>
    <s v="World"/>
    <s v="World"/>
    <n v="710812"/>
    <n v="4.2000000000000003E-2"/>
    <n v="50.55"/>
    <n v="1203.5714290000001"/>
  </r>
  <r>
    <x v="3"/>
    <x v="0"/>
    <s v="China"/>
    <s v="World"/>
    <n v="710812"/>
    <n v="4.2000000000000003E-2"/>
    <n v="50.55"/>
    <n v="1203.5714290000001"/>
  </r>
  <r>
    <x v="3"/>
    <x v="0"/>
    <s v="Mozambique"/>
    <s v="World"/>
    <n v="710813"/>
    <n v="74.930000000000007"/>
    <n v="4598057.3899999997"/>
    <n v="61364.705589999998"/>
  </r>
  <r>
    <x v="3"/>
    <x v="1"/>
    <s v="United Arab Emirates"/>
    <s v="World"/>
    <n v="7108"/>
    <n v="32733"/>
    <n v="1817954494"/>
    <n v="55538.890229999997"/>
  </r>
  <r>
    <x v="3"/>
    <x v="1"/>
    <s v="World"/>
    <s v="World"/>
    <n v="710813"/>
    <n v="32733"/>
    <n v="1817954494"/>
    <n v="55538.890229999997"/>
  </r>
  <r>
    <x v="3"/>
    <x v="1"/>
    <s v="United Arab Emirates"/>
    <s v="World"/>
    <n v="710813"/>
    <n v="32733"/>
    <n v="1817954494"/>
    <n v="55538.890229999997"/>
  </r>
  <r>
    <x v="4"/>
    <x v="0"/>
    <s v="World"/>
    <s v="World"/>
    <n v="7108"/>
    <n v="22573.538"/>
    <n v="1612843356"/>
    <n v="71448.40814"/>
  </r>
  <r>
    <x v="4"/>
    <x v="0"/>
    <s v="Mozambique"/>
    <s v="World"/>
    <n v="7108"/>
    <n v="82.328999999999994"/>
    <n v="4629669.83"/>
    <n v="56233.767319999999"/>
  </r>
  <r>
    <x v="4"/>
    <x v="0"/>
    <s v="United Arab Emirates"/>
    <s v="World"/>
    <n v="7108"/>
    <n v="22415.894"/>
    <n v="1604058775"/>
    <n v="71558.991810000007"/>
  </r>
  <r>
    <x v="4"/>
    <x v="0"/>
    <s v="Uganda"/>
    <s v="World"/>
    <n v="7108"/>
    <n v="75.314999999999998"/>
    <n v="4154911.32"/>
    <n v="55167.115709999998"/>
  </r>
  <r>
    <x v="4"/>
    <x v="0"/>
    <s v="World"/>
    <s v="World"/>
    <n v="710813"/>
    <n v="22573.538"/>
    <n v="1612843356"/>
    <n v="71448.40814"/>
  </r>
  <r>
    <x v="4"/>
    <x v="0"/>
    <s v="Mozambique"/>
    <s v="World"/>
    <n v="710813"/>
    <n v="82.328999999999994"/>
    <n v="4629669.83"/>
    <n v="56233.767319999999"/>
  </r>
  <r>
    <x v="4"/>
    <x v="0"/>
    <s v="United Arab Emirates"/>
    <s v="World"/>
    <n v="710813"/>
    <n v="22415.894"/>
    <n v="1604058775"/>
    <n v="71558.991810000007"/>
  </r>
  <r>
    <x v="4"/>
    <x v="0"/>
    <s v="Uganda"/>
    <s v="World"/>
    <n v="710813"/>
    <n v="75.314999999999998"/>
    <n v="4154911.32"/>
    <n v="55167.115709999998"/>
  </r>
  <r>
    <x v="4"/>
    <x v="1"/>
    <s v="World"/>
    <s v="World"/>
    <n v="7108"/>
    <n v="18444.240000000002"/>
    <n v="1032854557"/>
    <n v="55998.75935"/>
  </r>
  <r>
    <x v="4"/>
    <x v="1"/>
    <s v="United Arab Emirates"/>
    <s v="World"/>
    <n v="7108"/>
    <n v="18444.240000000002"/>
    <n v="1032854557"/>
    <n v="55998.75935"/>
  </r>
  <r>
    <x v="4"/>
    <x v="1"/>
    <s v="World"/>
    <s v="World"/>
    <n v="710812"/>
    <n v="87.82"/>
    <n v="4793412"/>
    <n v="54582.236389999998"/>
  </r>
  <r>
    <x v="4"/>
    <x v="1"/>
    <s v="United Arab Emirates"/>
    <s v="World"/>
    <n v="710812"/>
    <n v="87.82"/>
    <n v="4793412"/>
    <n v="54582.236389999998"/>
  </r>
  <r>
    <x v="4"/>
    <x v="1"/>
    <s v="World"/>
    <s v="World"/>
    <n v="710813"/>
    <n v="18356.419999999998"/>
    <n v="1028061145"/>
    <n v="56005.536220000002"/>
  </r>
  <r>
    <x v="4"/>
    <x v="1"/>
    <s v="United Arab Emirates"/>
    <s v="World"/>
    <n v="710813"/>
    <n v="18356.419999999998"/>
    <n v="1028061145"/>
    <n v="56005.536220000002"/>
  </r>
  <r>
    <x v="5"/>
    <x v="0"/>
    <s v="World"/>
    <s v="World"/>
    <n v="7108"/>
    <n v="35706.178"/>
    <n v="1992346633"/>
    <n v="55798.372860000003"/>
  </r>
  <r>
    <x v="5"/>
    <x v="0"/>
    <s v="China, Hong Kong SAR"/>
    <s v="World"/>
    <n v="7108"/>
    <n v="5.0860000000000003"/>
    <n v="296987.01"/>
    <n v="58393.041680000002"/>
  </r>
  <r>
    <x v="5"/>
    <x v="0"/>
    <s v="Mozambique"/>
    <s v="World"/>
    <n v="7108"/>
    <n v="170.02199999999999"/>
    <n v="10238545.17"/>
    <n v="60218.943249999997"/>
  </r>
  <r>
    <x v="5"/>
    <x v="0"/>
    <s v="United Arab Emirates"/>
    <s v="World"/>
    <n v="7108"/>
    <n v="35531.07"/>
    <n v="1981811101"/>
    <n v="55776.848299999998"/>
  </r>
  <r>
    <x v="5"/>
    <x v="0"/>
    <s v="World"/>
    <s v="World"/>
    <n v="710813"/>
    <n v="35706.178"/>
    <n v="1992346633"/>
    <n v="55798.372860000003"/>
  </r>
  <r>
    <x v="5"/>
    <x v="0"/>
    <s v="China, Hong Kong SAR"/>
    <s v="World"/>
    <n v="710813"/>
    <n v="5.0860000000000003"/>
    <n v="296987.01"/>
    <n v="58393.041680000002"/>
  </r>
  <r>
    <x v="5"/>
    <x v="0"/>
    <s v="Mozambique"/>
    <s v="World"/>
    <n v="710813"/>
    <n v="170.02199999999999"/>
    <n v="10238545.17"/>
    <n v="60218.943249999997"/>
  </r>
  <r>
    <x v="5"/>
    <x v="0"/>
    <s v="United Arab Emirates"/>
    <s v="World"/>
    <n v="710813"/>
    <n v="35531.07"/>
    <n v="1981811101"/>
    <n v="55776.848299999998"/>
  </r>
  <r>
    <x v="6"/>
    <x v="0"/>
    <s v="United Arab Emirates"/>
    <s v="World"/>
    <n v="7108"/>
    <n v="28943.86"/>
    <n v="1792919195"/>
    <n v="61944.716260000001"/>
  </r>
  <r>
    <x v="6"/>
    <x v="0"/>
    <s v="United Arab Emirates"/>
    <s v="World"/>
    <n v="710813"/>
    <n v="28943.86"/>
    <n v="1792919195"/>
    <n v="61944.71626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85ABA-F6C6-744A-8CFB-C3D2B88A62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6:D65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x of PrimaryValue" fld="6" subtotal="max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F8C0B-E543-4844-AEA0-DFE66D27D05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0:D39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PrimaryValue" fld="6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D243B-9565-C448-9D4B-27D4482027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2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55">
        <item x="3"/>
        <item x="39"/>
        <item x="10"/>
        <item x="35"/>
        <item x="22"/>
        <item x="30"/>
        <item x="21"/>
        <item x="17"/>
        <item x="18"/>
        <item x="24"/>
        <item x="34"/>
        <item x="6"/>
        <item x="15"/>
        <item x="1"/>
        <item x="5"/>
        <item x="16"/>
        <item x="23"/>
        <item x="20"/>
        <item x="0"/>
        <item x="4"/>
        <item x="14"/>
        <item x="12"/>
        <item x="13"/>
        <item x="2"/>
        <item x="8"/>
        <item x="11"/>
        <item x="19"/>
        <item x="33"/>
        <item x="31"/>
        <item x="9"/>
        <item x="7"/>
        <item x="29"/>
        <item x="36"/>
        <item x="32"/>
        <item x="37"/>
        <item x="28"/>
        <item x="27"/>
        <item x="25"/>
        <item x="26"/>
        <item x="47"/>
        <item x="45"/>
        <item x="41"/>
        <item x="52"/>
        <item x="49"/>
        <item x="46"/>
        <item x="48"/>
        <item x="43"/>
        <item x="50"/>
        <item x="51"/>
        <item x="40"/>
        <item x="53"/>
        <item x="42"/>
        <item x="44"/>
        <item x="38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PrimaryValue" fld="6" subtotal="average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92ACC-EE2A-0641-8ACB-298305D0FE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0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Qty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23109-3F94-5A4E-A845-D07CBB89D7C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4:D53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x of Qty" fld="5" subtotal="max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C23F8-46AE-254D-91A5-A3D5D9780F1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D31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Qty" fld="5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04348-6505-4349-893B-96DE71B0C47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:D26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Price per Qty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0C5EA-2BA7-A84A-8853-787665DEA3D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0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55">
        <item x="3"/>
        <item x="39"/>
        <item x="10"/>
        <item x="35"/>
        <item x="22"/>
        <item x="30"/>
        <item x="21"/>
        <item x="17"/>
        <item x="18"/>
        <item x="24"/>
        <item x="34"/>
        <item x="6"/>
        <item x="15"/>
        <item x="1"/>
        <item x="5"/>
        <item x="16"/>
        <item x="23"/>
        <item x="20"/>
        <item x="0"/>
        <item x="4"/>
        <item x="14"/>
        <item x="12"/>
        <item x="13"/>
        <item x="2"/>
        <item x="8"/>
        <item x="11"/>
        <item x="19"/>
        <item x="33"/>
        <item x="31"/>
        <item x="9"/>
        <item x="7"/>
        <item x="29"/>
        <item x="36"/>
        <item x="32"/>
        <item x="37"/>
        <item x="28"/>
        <item x="27"/>
        <item x="25"/>
        <item x="26"/>
        <item x="47"/>
        <item x="45"/>
        <item x="41"/>
        <item x="52"/>
        <item x="49"/>
        <item x="46"/>
        <item x="48"/>
        <item x="43"/>
        <item x="50"/>
        <item x="51"/>
        <item x="40"/>
        <item x="53"/>
        <item x="42"/>
        <item x="44"/>
        <item x="38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Price per Qty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2D6D-98E5-304C-9CBC-C6B654E9435C}">
  <dimension ref="A1:H118"/>
  <sheetViews>
    <sheetView tabSelected="1" workbookViewId="0">
      <selection activeCell="H2" sqref="H2"/>
    </sheetView>
  </sheetViews>
  <sheetFormatPr defaultColWidth="11" defaultRowHeight="16.149999999999999" x14ac:dyDescent="0.35"/>
  <cols>
    <col min="1" max="1" width="9.453125" customWidth="1"/>
    <col min="2" max="2" width="12.453125" bestFit="1" customWidth="1"/>
    <col min="3" max="3" width="18.81640625" bestFit="1" customWidth="1"/>
    <col min="4" max="4" width="12.36328125" bestFit="1" customWidth="1"/>
    <col min="5" max="5" width="9.36328125" bestFit="1" customWidth="1"/>
    <col min="6" max="6" width="10.1796875" bestFit="1" customWidth="1"/>
    <col min="7" max="8" width="12.1796875" bestFit="1" customWidth="1"/>
  </cols>
  <sheetData>
    <row r="1" spans="1:8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>
        <v>2017</v>
      </c>
      <c r="B2" t="s">
        <v>4</v>
      </c>
      <c r="C2" t="s">
        <v>20</v>
      </c>
      <c r="D2" t="s">
        <v>20</v>
      </c>
      <c r="E2">
        <v>7108</v>
      </c>
      <c r="F2">
        <v>21900.023000000001</v>
      </c>
      <c r="G2">
        <v>886025574.10000002</v>
      </c>
      <c r="H2">
        <v>40457.746279999999</v>
      </c>
    </row>
    <row r="3" spans="1:8" x14ac:dyDescent="0.35">
      <c r="A3" s="1">
        <v>2017</v>
      </c>
      <c r="B3" s="1" t="s">
        <v>4</v>
      </c>
      <c r="C3" s="1" t="s">
        <v>21</v>
      </c>
      <c r="D3" s="1" t="s">
        <v>20</v>
      </c>
      <c r="E3" s="1">
        <v>7108</v>
      </c>
      <c r="F3" s="1">
        <v>17164.582999999999</v>
      </c>
      <c r="G3" s="1">
        <v>691971331.20000005</v>
      </c>
      <c r="H3" s="1">
        <v>40313.902829999999</v>
      </c>
    </row>
    <row r="4" spans="1:8" x14ac:dyDescent="0.35">
      <c r="A4" s="1">
        <v>2017</v>
      </c>
      <c r="B4" s="1" t="s">
        <v>4</v>
      </c>
      <c r="C4" s="1" t="s">
        <v>22</v>
      </c>
      <c r="D4" s="1" t="s">
        <v>20</v>
      </c>
      <c r="E4" s="1">
        <v>7108</v>
      </c>
      <c r="F4" s="1">
        <v>4735.4399999999996</v>
      </c>
      <c r="G4" s="1">
        <v>194054242.90000001</v>
      </c>
      <c r="H4" s="1">
        <v>40979.13665</v>
      </c>
    </row>
    <row r="5" spans="1:8" x14ac:dyDescent="0.35">
      <c r="A5">
        <v>2017</v>
      </c>
      <c r="B5" t="s">
        <v>4</v>
      </c>
      <c r="C5" t="s">
        <v>20</v>
      </c>
      <c r="D5" t="s">
        <v>20</v>
      </c>
      <c r="E5">
        <v>710812</v>
      </c>
      <c r="F5">
        <v>0.123</v>
      </c>
      <c r="G5">
        <v>100</v>
      </c>
      <c r="H5">
        <v>813.00813010000002</v>
      </c>
    </row>
    <row r="6" spans="1:8" x14ac:dyDescent="0.35">
      <c r="A6" s="1">
        <v>2017</v>
      </c>
      <c r="B6" s="1" t="s">
        <v>4</v>
      </c>
      <c r="C6" s="1" t="s">
        <v>21</v>
      </c>
      <c r="D6" s="1" t="s">
        <v>20</v>
      </c>
      <c r="E6" s="1">
        <v>710812</v>
      </c>
      <c r="F6" s="1">
        <v>0.123</v>
      </c>
      <c r="G6" s="1">
        <v>100</v>
      </c>
      <c r="H6" s="1">
        <v>813.00813010000002</v>
      </c>
    </row>
    <row r="7" spans="1:8" x14ac:dyDescent="0.35">
      <c r="A7">
        <v>2017</v>
      </c>
      <c r="B7" t="s">
        <v>4</v>
      </c>
      <c r="C7" t="s">
        <v>20</v>
      </c>
      <c r="D7" t="s">
        <v>20</v>
      </c>
      <c r="E7">
        <v>710813</v>
      </c>
      <c r="F7">
        <v>21899.9</v>
      </c>
      <c r="G7">
        <v>886025474.10000002</v>
      </c>
      <c r="H7">
        <v>40457.968939999999</v>
      </c>
    </row>
    <row r="8" spans="1:8" x14ac:dyDescent="0.35">
      <c r="A8" s="1">
        <v>2017</v>
      </c>
      <c r="B8" s="1" t="s">
        <v>4</v>
      </c>
      <c r="C8" s="1" t="s">
        <v>21</v>
      </c>
      <c r="D8" s="1" t="s">
        <v>20</v>
      </c>
      <c r="E8" s="1">
        <v>710813</v>
      </c>
      <c r="F8" s="1">
        <v>17164.46</v>
      </c>
      <c r="G8" s="1">
        <v>691971231.20000005</v>
      </c>
      <c r="H8" s="1">
        <v>40314.185899999997</v>
      </c>
    </row>
    <row r="9" spans="1:8" x14ac:dyDescent="0.35">
      <c r="A9" s="1">
        <v>2017</v>
      </c>
      <c r="B9" s="1" t="s">
        <v>4</v>
      </c>
      <c r="C9" s="1" t="s">
        <v>22</v>
      </c>
      <c r="D9" s="1" t="s">
        <v>20</v>
      </c>
      <c r="E9" s="1">
        <v>710813</v>
      </c>
      <c r="F9" s="1">
        <v>4735.4399999999996</v>
      </c>
      <c r="G9" s="1">
        <v>194054242.90000001</v>
      </c>
      <c r="H9" s="1">
        <v>40979.13665</v>
      </c>
    </row>
    <row r="10" spans="1:8" x14ac:dyDescent="0.35">
      <c r="A10">
        <v>2017</v>
      </c>
      <c r="B10" t="s">
        <v>3</v>
      </c>
      <c r="C10" t="s">
        <v>20</v>
      </c>
      <c r="D10" t="s">
        <v>20</v>
      </c>
      <c r="E10">
        <v>7108</v>
      </c>
      <c r="F10">
        <v>10583.33</v>
      </c>
      <c r="G10">
        <v>415670742.30000001</v>
      </c>
      <c r="H10">
        <v>39275.988019999997</v>
      </c>
    </row>
    <row r="11" spans="1:8" x14ac:dyDescent="0.35">
      <c r="A11">
        <v>2017</v>
      </c>
      <c r="B11" t="s">
        <v>3</v>
      </c>
      <c r="C11" t="s">
        <v>23</v>
      </c>
      <c r="D11" t="s">
        <v>20</v>
      </c>
      <c r="E11">
        <v>7108</v>
      </c>
      <c r="F11">
        <v>293</v>
      </c>
      <c r="G11">
        <v>12452723.039999999</v>
      </c>
      <c r="H11">
        <v>42500.761229999996</v>
      </c>
    </row>
    <row r="12" spans="1:8" x14ac:dyDescent="0.35">
      <c r="A12" s="1">
        <v>2017</v>
      </c>
      <c r="B12" s="1" t="s">
        <v>3</v>
      </c>
      <c r="C12" s="1" t="s">
        <v>22</v>
      </c>
      <c r="D12" s="1" t="s">
        <v>20</v>
      </c>
      <c r="E12" s="1">
        <v>7108</v>
      </c>
      <c r="F12" s="1">
        <v>9765.33</v>
      </c>
      <c r="G12" s="1">
        <v>400380291.39999998</v>
      </c>
      <c r="H12" s="1">
        <v>41000.180370000002</v>
      </c>
    </row>
    <row r="13" spans="1:8" x14ac:dyDescent="0.35">
      <c r="A13">
        <v>2017</v>
      </c>
      <c r="B13" t="s">
        <v>3</v>
      </c>
      <c r="C13" t="s">
        <v>24</v>
      </c>
      <c r="D13" t="s">
        <v>20</v>
      </c>
      <c r="E13">
        <v>7108</v>
      </c>
      <c r="F13">
        <v>25</v>
      </c>
      <c r="G13">
        <v>1050858.55</v>
      </c>
      <c r="H13">
        <v>42034.341999999997</v>
      </c>
    </row>
    <row r="14" spans="1:8" x14ac:dyDescent="0.35">
      <c r="A14" s="2">
        <v>2017</v>
      </c>
      <c r="B14" s="2" t="s">
        <v>3</v>
      </c>
      <c r="C14" s="2" t="s">
        <v>25</v>
      </c>
      <c r="D14" s="2" t="s">
        <v>20</v>
      </c>
      <c r="E14" s="2">
        <v>7108</v>
      </c>
      <c r="F14" s="2">
        <v>500</v>
      </c>
      <c r="G14" s="2">
        <v>1786869.35</v>
      </c>
      <c r="H14" s="2">
        <v>3573.7386999999999</v>
      </c>
    </row>
    <row r="15" spans="1:8" x14ac:dyDescent="0.35">
      <c r="A15">
        <v>2017</v>
      </c>
      <c r="B15" t="s">
        <v>3</v>
      </c>
      <c r="C15" t="s">
        <v>20</v>
      </c>
      <c r="D15" t="s">
        <v>20</v>
      </c>
      <c r="E15">
        <v>710812</v>
      </c>
      <c r="F15">
        <v>500</v>
      </c>
      <c r="G15">
        <v>1786869.35</v>
      </c>
      <c r="H15">
        <v>3573.7386999999999</v>
      </c>
    </row>
    <row r="16" spans="1:8" x14ac:dyDescent="0.35">
      <c r="A16" s="2">
        <v>2017</v>
      </c>
      <c r="B16" s="2" t="s">
        <v>3</v>
      </c>
      <c r="C16" s="2" t="s">
        <v>25</v>
      </c>
      <c r="D16" s="2" t="s">
        <v>20</v>
      </c>
      <c r="E16" s="2">
        <v>710812</v>
      </c>
      <c r="F16" s="2">
        <v>500</v>
      </c>
      <c r="G16" s="2">
        <v>1786869.35</v>
      </c>
      <c r="H16" s="2">
        <v>3573.7386999999999</v>
      </c>
    </row>
    <row r="17" spans="1:8" x14ac:dyDescent="0.35">
      <c r="A17">
        <v>2017</v>
      </c>
      <c r="B17" t="s">
        <v>3</v>
      </c>
      <c r="C17" t="s">
        <v>20</v>
      </c>
      <c r="D17" t="s">
        <v>20</v>
      </c>
      <c r="E17">
        <v>710813</v>
      </c>
      <c r="F17">
        <v>10083.33</v>
      </c>
      <c r="G17">
        <v>413883873</v>
      </c>
      <c r="H17">
        <v>41046.348080000003</v>
      </c>
    </row>
    <row r="18" spans="1:8" x14ac:dyDescent="0.35">
      <c r="A18">
        <v>2017</v>
      </c>
      <c r="B18" t="s">
        <v>3</v>
      </c>
      <c r="C18" t="s">
        <v>23</v>
      </c>
      <c r="D18" t="s">
        <v>20</v>
      </c>
      <c r="E18">
        <v>710813</v>
      </c>
      <c r="F18">
        <v>293</v>
      </c>
      <c r="G18">
        <v>12452723.039999999</v>
      </c>
      <c r="H18">
        <v>42500.761229999996</v>
      </c>
    </row>
    <row r="19" spans="1:8" x14ac:dyDescent="0.35">
      <c r="A19" s="1">
        <v>2017</v>
      </c>
      <c r="B19" s="1" t="s">
        <v>3</v>
      </c>
      <c r="C19" s="1" t="s">
        <v>22</v>
      </c>
      <c r="D19" s="1" t="s">
        <v>20</v>
      </c>
      <c r="E19" s="1">
        <v>710813</v>
      </c>
      <c r="F19" s="1">
        <v>9765.33</v>
      </c>
      <c r="G19" s="1">
        <v>400380291.39999998</v>
      </c>
      <c r="H19" s="1">
        <v>41000.180370000002</v>
      </c>
    </row>
    <row r="20" spans="1:8" x14ac:dyDescent="0.35">
      <c r="A20">
        <v>2017</v>
      </c>
      <c r="B20" t="s">
        <v>3</v>
      </c>
      <c r="C20" t="s">
        <v>24</v>
      </c>
      <c r="D20" t="s">
        <v>20</v>
      </c>
      <c r="E20">
        <v>710813</v>
      </c>
      <c r="F20">
        <v>25</v>
      </c>
      <c r="G20">
        <v>1050858.55</v>
      </c>
      <c r="H20">
        <v>42034.341999999997</v>
      </c>
    </row>
    <row r="21" spans="1:8" x14ac:dyDescent="0.35">
      <c r="A21">
        <v>2018</v>
      </c>
      <c r="B21" t="s">
        <v>4</v>
      </c>
      <c r="C21" t="s">
        <v>20</v>
      </c>
      <c r="D21" t="s">
        <v>20</v>
      </c>
      <c r="E21">
        <v>7108</v>
      </c>
      <c r="F21">
        <v>28111</v>
      </c>
      <c r="G21">
        <v>1141528997</v>
      </c>
      <c r="H21">
        <v>40607.911370000002</v>
      </c>
    </row>
    <row r="22" spans="1:8" x14ac:dyDescent="0.35">
      <c r="A22" s="1">
        <v>2018</v>
      </c>
      <c r="B22" s="1" t="s">
        <v>4</v>
      </c>
      <c r="C22" s="1" t="s">
        <v>21</v>
      </c>
      <c r="D22" s="1" t="s">
        <v>20</v>
      </c>
      <c r="E22" s="1">
        <v>7108</v>
      </c>
      <c r="F22" s="1">
        <v>12984.7</v>
      </c>
      <c r="G22" s="1">
        <v>528445404.80000001</v>
      </c>
      <c r="H22" s="1">
        <v>40697.544399999999</v>
      </c>
    </row>
    <row r="23" spans="1:8" x14ac:dyDescent="0.35">
      <c r="A23" s="1">
        <v>2018</v>
      </c>
      <c r="B23" s="1" t="s">
        <v>4</v>
      </c>
      <c r="C23" s="1" t="s">
        <v>22</v>
      </c>
      <c r="D23" s="1" t="s">
        <v>20</v>
      </c>
      <c r="E23" s="1">
        <v>7108</v>
      </c>
      <c r="F23" s="1">
        <v>15083.8</v>
      </c>
      <c r="G23" s="1">
        <v>611401765.5</v>
      </c>
      <c r="H23" s="1">
        <v>40533.669600000001</v>
      </c>
    </row>
    <row r="24" spans="1:8" x14ac:dyDescent="0.35">
      <c r="A24">
        <v>2018</v>
      </c>
      <c r="B24" t="s">
        <v>4</v>
      </c>
      <c r="C24" t="s">
        <v>26</v>
      </c>
      <c r="D24" t="s">
        <v>20</v>
      </c>
      <c r="E24">
        <v>7108</v>
      </c>
      <c r="F24">
        <v>42.5</v>
      </c>
      <c r="G24">
        <v>1681826.3</v>
      </c>
      <c r="H24">
        <v>39572.383529999999</v>
      </c>
    </row>
    <row r="25" spans="1:8" x14ac:dyDescent="0.35">
      <c r="A25">
        <v>2018</v>
      </c>
      <c r="B25" t="s">
        <v>4</v>
      </c>
      <c r="C25" t="s">
        <v>20</v>
      </c>
      <c r="D25" t="s">
        <v>20</v>
      </c>
      <c r="E25">
        <v>710813</v>
      </c>
      <c r="F25">
        <v>28111</v>
      </c>
      <c r="G25">
        <v>1141528997</v>
      </c>
      <c r="H25">
        <v>40607.911370000002</v>
      </c>
    </row>
    <row r="26" spans="1:8" x14ac:dyDescent="0.35">
      <c r="A26" s="1">
        <v>2018</v>
      </c>
      <c r="B26" s="1" t="s">
        <v>4</v>
      </c>
      <c r="C26" s="1" t="s">
        <v>21</v>
      </c>
      <c r="D26" s="1" t="s">
        <v>20</v>
      </c>
      <c r="E26" s="1">
        <v>710813</v>
      </c>
      <c r="F26" s="1">
        <v>12984.7</v>
      </c>
      <c r="G26" s="1">
        <v>528445404.80000001</v>
      </c>
      <c r="H26" s="1">
        <v>40697.544399999999</v>
      </c>
    </row>
    <row r="27" spans="1:8" x14ac:dyDescent="0.35">
      <c r="A27" s="1">
        <v>2018</v>
      </c>
      <c r="B27" s="1" t="s">
        <v>4</v>
      </c>
      <c r="C27" s="1" t="s">
        <v>22</v>
      </c>
      <c r="D27" s="1" t="s">
        <v>20</v>
      </c>
      <c r="E27" s="1">
        <v>710813</v>
      </c>
      <c r="F27" s="1">
        <v>15083.8</v>
      </c>
      <c r="G27" s="1">
        <v>611401765.5</v>
      </c>
      <c r="H27" s="1">
        <v>40533.669600000001</v>
      </c>
    </row>
    <row r="28" spans="1:8" x14ac:dyDescent="0.35">
      <c r="A28">
        <v>2018</v>
      </c>
      <c r="B28" t="s">
        <v>4</v>
      </c>
      <c r="C28" t="s">
        <v>26</v>
      </c>
      <c r="D28" t="s">
        <v>20</v>
      </c>
      <c r="E28">
        <v>710813</v>
      </c>
      <c r="F28">
        <v>42.5</v>
      </c>
      <c r="G28">
        <v>1681826.3</v>
      </c>
      <c r="H28">
        <v>39572.383529999999</v>
      </c>
    </row>
    <row r="29" spans="1:8" x14ac:dyDescent="0.35">
      <c r="A29">
        <v>2018</v>
      </c>
      <c r="B29" t="s">
        <v>3</v>
      </c>
      <c r="C29" t="s">
        <v>20</v>
      </c>
      <c r="D29" t="s">
        <v>20</v>
      </c>
      <c r="E29">
        <v>7108</v>
      </c>
      <c r="F29">
        <v>12788</v>
      </c>
      <c r="G29">
        <v>515564027.10000002</v>
      </c>
      <c r="H29">
        <v>40316.236089999999</v>
      </c>
    </row>
    <row r="30" spans="1:8" x14ac:dyDescent="0.35">
      <c r="A30">
        <v>2018</v>
      </c>
      <c r="B30" t="s">
        <v>3</v>
      </c>
      <c r="C30" t="s">
        <v>23</v>
      </c>
      <c r="D30" t="s">
        <v>20</v>
      </c>
      <c r="E30">
        <v>7108</v>
      </c>
      <c r="F30">
        <v>79</v>
      </c>
      <c r="G30">
        <v>1770276.49</v>
      </c>
      <c r="H30">
        <v>22408.563160000002</v>
      </c>
    </row>
    <row r="31" spans="1:8" x14ac:dyDescent="0.35">
      <c r="A31" s="1">
        <v>2018</v>
      </c>
      <c r="B31" s="1" t="s">
        <v>3</v>
      </c>
      <c r="C31" s="1" t="s">
        <v>27</v>
      </c>
      <c r="D31" s="1" t="s">
        <v>20</v>
      </c>
      <c r="E31" s="1">
        <v>7108</v>
      </c>
      <c r="F31" s="1">
        <v>6.5</v>
      </c>
      <c r="G31" s="1">
        <v>183907.95</v>
      </c>
      <c r="H31" s="1">
        <v>28293.530770000001</v>
      </c>
    </row>
    <row r="32" spans="1:8" x14ac:dyDescent="0.35">
      <c r="A32" s="1">
        <v>2018</v>
      </c>
      <c r="B32" s="1" t="s">
        <v>3</v>
      </c>
      <c r="C32" s="1" t="s">
        <v>28</v>
      </c>
      <c r="D32" s="1" t="s">
        <v>20</v>
      </c>
      <c r="E32" s="1">
        <v>7108</v>
      </c>
      <c r="F32" s="1">
        <v>2</v>
      </c>
      <c r="G32" s="1">
        <v>82897.5</v>
      </c>
      <c r="H32" s="1">
        <v>41448.75</v>
      </c>
    </row>
    <row r="33" spans="1:8" x14ac:dyDescent="0.35">
      <c r="A33" s="1">
        <v>2018</v>
      </c>
      <c r="B33" s="1" t="s">
        <v>3</v>
      </c>
      <c r="C33" s="1" t="s">
        <v>22</v>
      </c>
      <c r="D33" s="1" t="s">
        <v>20</v>
      </c>
      <c r="E33" s="1">
        <v>7108</v>
      </c>
      <c r="F33" s="1">
        <v>12699.5</v>
      </c>
      <c r="G33" s="1">
        <v>513507305.89999998</v>
      </c>
      <c r="H33" s="1">
        <v>40435.238069999999</v>
      </c>
    </row>
    <row r="34" spans="1:8" x14ac:dyDescent="0.35">
      <c r="A34">
        <v>2018</v>
      </c>
      <c r="B34" t="s">
        <v>3</v>
      </c>
      <c r="C34" t="s">
        <v>29</v>
      </c>
      <c r="D34" t="s">
        <v>20</v>
      </c>
      <c r="E34">
        <v>7108</v>
      </c>
      <c r="F34">
        <v>1</v>
      </c>
      <c r="G34">
        <v>19639.21</v>
      </c>
      <c r="H34">
        <v>19639.21</v>
      </c>
    </row>
    <row r="35" spans="1:8" x14ac:dyDescent="0.35">
      <c r="A35">
        <v>2018</v>
      </c>
      <c r="B35" t="s">
        <v>3</v>
      </c>
      <c r="C35" t="s">
        <v>20</v>
      </c>
      <c r="D35" t="s">
        <v>20</v>
      </c>
      <c r="E35">
        <v>710812</v>
      </c>
      <c r="F35">
        <v>1.5</v>
      </c>
      <c r="G35">
        <v>11874</v>
      </c>
      <c r="H35">
        <v>7916</v>
      </c>
    </row>
    <row r="36" spans="1:8" x14ac:dyDescent="0.35">
      <c r="A36" s="1">
        <v>2018</v>
      </c>
      <c r="B36" s="1" t="s">
        <v>3</v>
      </c>
      <c r="C36" s="1" t="s">
        <v>27</v>
      </c>
      <c r="D36" s="1" t="s">
        <v>20</v>
      </c>
      <c r="E36" s="1">
        <v>710812</v>
      </c>
      <c r="F36" s="1">
        <v>1.5</v>
      </c>
      <c r="G36" s="1">
        <v>11874</v>
      </c>
      <c r="H36" s="1">
        <v>7916</v>
      </c>
    </row>
    <row r="37" spans="1:8" x14ac:dyDescent="0.35">
      <c r="A37">
        <v>2018</v>
      </c>
      <c r="B37" t="s">
        <v>3</v>
      </c>
      <c r="C37" t="s">
        <v>20</v>
      </c>
      <c r="D37" t="s">
        <v>20</v>
      </c>
      <c r="E37">
        <v>710813</v>
      </c>
      <c r="F37">
        <v>12786.5</v>
      </c>
      <c r="G37">
        <v>515552153.10000002</v>
      </c>
      <c r="H37">
        <v>40320.036999999997</v>
      </c>
    </row>
    <row r="38" spans="1:8" x14ac:dyDescent="0.35">
      <c r="A38">
        <v>2018</v>
      </c>
      <c r="B38" t="s">
        <v>3</v>
      </c>
      <c r="C38" t="s">
        <v>23</v>
      </c>
      <c r="D38" t="s">
        <v>20</v>
      </c>
      <c r="E38">
        <v>710813</v>
      </c>
      <c r="F38">
        <v>79</v>
      </c>
      <c r="G38">
        <v>1770276.49</v>
      </c>
      <c r="H38">
        <v>22408.563160000002</v>
      </c>
    </row>
    <row r="39" spans="1:8" x14ac:dyDescent="0.35">
      <c r="A39" s="1">
        <v>2018</v>
      </c>
      <c r="B39" s="1" t="s">
        <v>3</v>
      </c>
      <c r="C39" s="1" t="s">
        <v>27</v>
      </c>
      <c r="D39" s="1" t="s">
        <v>20</v>
      </c>
      <c r="E39" s="1">
        <v>710813</v>
      </c>
      <c r="F39" s="1">
        <v>5</v>
      </c>
      <c r="G39" s="1">
        <v>172033.95</v>
      </c>
      <c r="H39" s="1">
        <v>34406.79</v>
      </c>
    </row>
    <row r="40" spans="1:8" x14ac:dyDescent="0.35">
      <c r="A40" s="1">
        <v>2018</v>
      </c>
      <c r="B40" s="1" t="s">
        <v>3</v>
      </c>
      <c r="C40" s="1" t="s">
        <v>28</v>
      </c>
      <c r="D40" s="1" t="s">
        <v>20</v>
      </c>
      <c r="E40" s="1">
        <v>710813</v>
      </c>
      <c r="F40" s="1">
        <v>2</v>
      </c>
      <c r="G40" s="1">
        <v>82897.5</v>
      </c>
      <c r="H40" s="1">
        <v>41448.75</v>
      </c>
    </row>
    <row r="41" spans="1:8" x14ac:dyDescent="0.35">
      <c r="A41" s="1">
        <v>2018</v>
      </c>
      <c r="B41" s="1" t="s">
        <v>3</v>
      </c>
      <c r="C41" s="1" t="s">
        <v>22</v>
      </c>
      <c r="D41" s="1" t="s">
        <v>20</v>
      </c>
      <c r="E41" s="1">
        <v>710813</v>
      </c>
      <c r="F41" s="1">
        <v>12699.5</v>
      </c>
      <c r="G41" s="1">
        <v>513507305.89999998</v>
      </c>
      <c r="H41" s="1">
        <v>40435.238069999999</v>
      </c>
    </row>
    <row r="42" spans="1:8" x14ac:dyDescent="0.35">
      <c r="A42">
        <v>2018</v>
      </c>
      <c r="B42" t="s">
        <v>3</v>
      </c>
      <c r="C42" t="s">
        <v>29</v>
      </c>
      <c r="D42" t="s">
        <v>20</v>
      </c>
      <c r="E42">
        <v>710813</v>
      </c>
      <c r="F42">
        <v>1</v>
      </c>
      <c r="G42">
        <v>19639.21</v>
      </c>
      <c r="H42">
        <v>19639.21</v>
      </c>
    </row>
    <row r="43" spans="1:8" x14ac:dyDescent="0.35">
      <c r="A43">
        <v>2019</v>
      </c>
      <c r="B43" t="s">
        <v>4</v>
      </c>
      <c r="C43" t="s">
        <v>20</v>
      </c>
      <c r="D43" t="s">
        <v>20</v>
      </c>
      <c r="E43">
        <v>7108</v>
      </c>
      <c r="F43">
        <v>23580.18</v>
      </c>
      <c r="G43">
        <v>1063914010</v>
      </c>
      <c r="H43">
        <v>45118.994420000003</v>
      </c>
    </row>
    <row r="44" spans="1:8" x14ac:dyDescent="0.35">
      <c r="A44" s="1">
        <v>2019</v>
      </c>
      <c r="B44" s="1" t="s">
        <v>4</v>
      </c>
      <c r="C44" s="1" t="s">
        <v>27</v>
      </c>
      <c r="D44" s="1" t="s">
        <v>20</v>
      </c>
      <c r="E44" s="1">
        <v>7108</v>
      </c>
      <c r="F44" s="1">
        <v>153.72999999999999</v>
      </c>
      <c r="G44" s="1">
        <v>7451174.6799999997</v>
      </c>
      <c r="H44" s="1">
        <v>48469.22969</v>
      </c>
    </row>
    <row r="45" spans="1:8" x14ac:dyDescent="0.35">
      <c r="A45" s="1">
        <v>2019</v>
      </c>
      <c r="B45" s="1" t="s">
        <v>4</v>
      </c>
      <c r="C45" s="1" t="s">
        <v>21</v>
      </c>
      <c r="D45" s="1" t="s">
        <v>20</v>
      </c>
      <c r="E45" s="1">
        <v>7108</v>
      </c>
      <c r="F45" s="1">
        <v>9125.25</v>
      </c>
      <c r="G45" s="1">
        <v>411685825</v>
      </c>
      <c r="H45" s="1">
        <v>45115.018770000002</v>
      </c>
    </row>
    <row r="46" spans="1:8" x14ac:dyDescent="0.35">
      <c r="A46" s="1">
        <v>2019</v>
      </c>
      <c r="B46" s="1" t="s">
        <v>4</v>
      </c>
      <c r="C46" s="1" t="s">
        <v>22</v>
      </c>
      <c r="D46" s="1" t="s">
        <v>20</v>
      </c>
      <c r="E46" s="1">
        <v>7108</v>
      </c>
      <c r="F46" s="1">
        <v>14301.2</v>
      </c>
      <c r="G46" s="1">
        <v>644777010.10000002</v>
      </c>
      <c r="H46" s="1">
        <v>45085.517999999996</v>
      </c>
    </row>
    <row r="47" spans="1:8" x14ac:dyDescent="0.35">
      <c r="A47">
        <v>2019</v>
      </c>
      <c r="B47" t="s">
        <v>4</v>
      </c>
      <c r="C47" t="s">
        <v>20</v>
      </c>
      <c r="D47" t="s">
        <v>20</v>
      </c>
      <c r="E47">
        <v>710813</v>
      </c>
      <c r="F47">
        <v>23580.18</v>
      </c>
      <c r="G47">
        <v>1063914010</v>
      </c>
      <c r="H47">
        <v>45118.994420000003</v>
      </c>
    </row>
    <row r="48" spans="1:8" x14ac:dyDescent="0.35">
      <c r="A48" s="1">
        <v>2019</v>
      </c>
      <c r="B48" s="1" t="s">
        <v>4</v>
      </c>
      <c r="C48" s="1" t="s">
        <v>27</v>
      </c>
      <c r="D48" s="1" t="s">
        <v>20</v>
      </c>
      <c r="E48" s="1">
        <v>710813</v>
      </c>
      <c r="F48" s="1">
        <v>153.72999999999999</v>
      </c>
      <c r="G48" s="1">
        <v>7451174.6799999997</v>
      </c>
      <c r="H48" s="1">
        <v>48469.22969</v>
      </c>
    </row>
    <row r="49" spans="1:8" x14ac:dyDescent="0.35">
      <c r="A49" s="1">
        <v>2019</v>
      </c>
      <c r="B49" s="1" t="s">
        <v>4</v>
      </c>
      <c r="C49" s="1" t="s">
        <v>21</v>
      </c>
      <c r="D49" s="1" t="s">
        <v>20</v>
      </c>
      <c r="E49" s="1">
        <v>710813</v>
      </c>
      <c r="F49" s="1">
        <v>9125.25</v>
      </c>
      <c r="G49" s="1">
        <v>411685825</v>
      </c>
      <c r="H49" s="1">
        <v>45115.018770000002</v>
      </c>
    </row>
    <row r="50" spans="1:8" x14ac:dyDescent="0.35">
      <c r="A50" s="1">
        <v>2019</v>
      </c>
      <c r="B50" s="1" t="s">
        <v>4</v>
      </c>
      <c r="C50" s="1" t="s">
        <v>22</v>
      </c>
      <c r="D50" s="1" t="s">
        <v>20</v>
      </c>
      <c r="E50" s="1">
        <v>710813</v>
      </c>
      <c r="F50" s="1">
        <v>14301.2</v>
      </c>
      <c r="G50" s="1">
        <v>644777010.10000002</v>
      </c>
      <c r="H50" s="1">
        <v>45085.517999999996</v>
      </c>
    </row>
    <row r="51" spans="1:8" x14ac:dyDescent="0.35">
      <c r="A51">
        <v>2019</v>
      </c>
      <c r="B51" t="s">
        <v>3</v>
      </c>
      <c r="C51" t="s">
        <v>20</v>
      </c>
      <c r="D51" t="s">
        <v>20</v>
      </c>
      <c r="E51">
        <v>7108</v>
      </c>
      <c r="F51">
        <v>28782.530999999999</v>
      </c>
      <c r="G51">
        <v>1256750588</v>
      </c>
      <c r="H51">
        <v>43663.657919999998</v>
      </c>
    </row>
    <row r="52" spans="1:8" x14ac:dyDescent="0.35">
      <c r="A52" s="1">
        <v>2019</v>
      </c>
      <c r="B52" s="1" t="s">
        <v>3</v>
      </c>
      <c r="C52" s="1" t="s">
        <v>27</v>
      </c>
      <c r="D52" s="1" t="s">
        <v>20</v>
      </c>
      <c r="E52" s="1">
        <v>7108</v>
      </c>
      <c r="F52" s="1">
        <v>1E-3</v>
      </c>
      <c r="G52" s="1">
        <v>9.9700000000000006</v>
      </c>
      <c r="H52" s="1">
        <v>9970</v>
      </c>
    </row>
    <row r="53" spans="1:8" x14ac:dyDescent="0.35">
      <c r="A53">
        <v>2019</v>
      </c>
      <c r="B53" t="s">
        <v>3</v>
      </c>
      <c r="C53" t="s">
        <v>30</v>
      </c>
      <c r="D53" t="s">
        <v>20</v>
      </c>
      <c r="E53">
        <v>7108</v>
      </c>
      <c r="F53">
        <v>1</v>
      </c>
      <c r="G53">
        <v>41885.86</v>
      </c>
      <c r="H53">
        <v>41885.86</v>
      </c>
    </row>
    <row r="54" spans="1:8" x14ac:dyDescent="0.35">
      <c r="A54" s="1">
        <v>2019</v>
      </c>
      <c r="B54" s="1" t="s">
        <v>3</v>
      </c>
      <c r="C54" s="1" t="s">
        <v>22</v>
      </c>
      <c r="D54" s="1" t="s">
        <v>20</v>
      </c>
      <c r="E54" s="1">
        <v>7108</v>
      </c>
      <c r="F54" s="1">
        <v>26180.6</v>
      </c>
      <c r="G54" s="1">
        <v>1148295585</v>
      </c>
      <c r="H54" s="1">
        <v>43860.552640000002</v>
      </c>
    </row>
    <row r="55" spans="1:8" x14ac:dyDescent="0.35">
      <c r="A55">
        <v>2019</v>
      </c>
      <c r="B55" t="s">
        <v>3</v>
      </c>
      <c r="C55" t="s">
        <v>24</v>
      </c>
      <c r="D55" t="s">
        <v>20</v>
      </c>
      <c r="E55">
        <v>7108</v>
      </c>
      <c r="F55">
        <v>2600.9299999999998</v>
      </c>
      <c r="G55">
        <v>108413107.40000001</v>
      </c>
      <c r="H55">
        <v>41682.4395</v>
      </c>
    </row>
    <row r="56" spans="1:8" x14ac:dyDescent="0.35">
      <c r="A56">
        <v>2019</v>
      </c>
      <c r="B56" t="s">
        <v>3</v>
      </c>
      <c r="C56" t="s">
        <v>20</v>
      </c>
      <c r="D56" t="s">
        <v>20</v>
      </c>
      <c r="E56">
        <v>710812</v>
      </c>
      <c r="F56">
        <v>1.151</v>
      </c>
      <c r="G56">
        <v>43042.83</v>
      </c>
      <c r="H56">
        <v>37396.029540000003</v>
      </c>
    </row>
    <row r="57" spans="1:8" x14ac:dyDescent="0.35">
      <c r="A57" s="1">
        <v>2019</v>
      </c>
      <c r="B57" s="1" t="s">
        <v>3</v>
      </c>
      <c r="C57" s="1" t="s">
        <v>27</v>
      </c>
      <c r="D57" s="1" t="s">
        <v>20</v>
      </c>
      <c r="E57" s="1">
        <v>710812</v>
      </c>
      <c r="F57" s="1">
        <v>1E-3</v>
      </c>
      <c r="G57" s="1">
        <v>9.9700000000000006</v>
      </c>
      <c r="H57" s="1">
        <v>9970</v>
      </c>
    </row>
    <row r="58" spans="1:8" x14ac:dyDescent="0.35">
      <c r="A58">
        <v>2019</v>
      </c>
      <c r="B58" t="s">
        <v>3</v>
      </c>
      <c r="C58" t="s">
        <v>30</v>
      </c>
      <c r="D58" t="s">
        <v>20</v>
      </c>
      <c r="E58">
        <v>710812</v>
      </c>
      <c r="F58">
        <v>1</v>
      </c>
      <c r="G58">
        <v>41885.86</v>
      </c>
      <c r="H58">
        <v>41885.86</v>
      </c>
    </row>
    <row r="59" spans="1:8" x14ac:dyDescent="0.35">
      <c r="A59" s="1">
        <v>2019</v>
      </c>
      <c r="B59" s="1" t="s">
        <v>3</v>
      </c>
      <c r="C59" s="1" t="s">
        <v>22</v>
      </c>
      <c r="D59" s="1" t="s">
        <v>20</v>
      </c>
      <c r="E59" s="1">
        <v>710812</v>
      </c>
      <c r="F59" s="1">
        <v>0.15</v>
      </c>
      <c r="G59" s="1">
        <v>1147</v>
      </c>
      <c r="H59" s="1">
        <v>7646.6666670000004</v>
      </c>
    </row>
    <row r="60" spans="1:8" x14ac:dyDescent="0.35">
      <c r="A60">
        <v>2019</v>
      </c>
      <c r="B60" t="s">
        <v>3</v>
      </c>
      <c r="C60" t="s">
        <v>20</v>
      </c>
      <c r="D60" t="s">
        <v>20</v>
      </c>
      <c r="E60">
        <v>710813</v>
      </c>
      <c r="F60">
        <v>28781.38</v>
      </c>
      <c r="G60">
        <v>1256707545</v>
      </c>
      <c r="H60">
        <v>43663.90857</v>
      </c>
    </row>
    <row r="61" spans="1:8" x14ac:dyDescent="0.35">
      <c r="A61" s="1">
        <v>2019</v>
      </c>
      <c r="B61" s="1" t="s">
        <v>3</v>
      </c>
      <c r="C61" s="1" t="s">
        <v>22</v>
      </c>
      <c r="D61" s="1" t="s">
        <v>20</v>
      </c>
      <c r="E61" s="1">
        <v>710813</v>
      </c>
      <c r="F61" s="1">
        <v>26180.45</v>
      </c>
      <c r="G61" s="1">
        <v>1148294438</v>
      </c>
      <c r="H61" s="1">
        <v>43860.760130000002</v>
      </c>
    </row>
    <row r="62" spans="1:8" x14ac:dyDescent="0.35">
      <c r="A62">
        <v>2019</v>
      </c>
      <c r="B62" t="s">
        <v>3</v>
      </c>
      <c r="C62" t="s">
        <v>24</v>
      </c>
      <c r="D62" t="s">
        <v>20</v>
      </c>
      <c r="E62">
        <v>710813</v>
      </c>
      <c r="F62">
        <v>2600.9299999999998</v>
      </c>
      <c r="G62">
        <v>108413107.40000001</v>
      </c>
      <c r="H62">
        <v>41682.4395</v>
      </c>
    </row>
    <row r="63" spans="1:8" x14ac:dyDescent="0.35">
      <c r="A63">
        <v>2020</v>
      </c>
      <c r="B63" t="s">
        <v>4</v>
      </c>
      <c r="C63" t="s">
        <v>20</v>
      </c>
      <c r="D63" t="s">
        <v>20</v>
      </c>
      <c r="E63">
        <v>7108</v>
      </c>
      <c r="F63">
        <v>0</v>
      </c>
      <c r="G63">
        <v>982257743.39999998</v>
      </c>
      <c r="H63" t="e">
        <v>#DIV/0!</v>
      </c>
    </row>
    <row r="64" spans="1:8" x14ac:dyDescent="0.35">
      <c r="A64">
        <v>2020</v>
      </c>
      <c r="B64" t="s">
        <v>4</v>
      </c>
      <c r="C64" t="s">
        <v>31</v>
      </c>
      <c r="D64" t="s">
        <v>20</v>
      </c>
      <c r="E64">
        <v>7108</v>
      </c>
      <c r="F64">
        <v>4.2000000000000003E-2</v>
      </c>
      <c r="G64">
        <v>50.55</v>
      </c>
      <c r="H64">
        <v>1203.5714290000001</v>
      </c>
    </row>
    <row r="65" spans="1:8" x14ac:dyDescent="0.35">
      <c r="A65" s="1">
        <v>2020</v>
      </c>
      <c r="B65" s="1" t="s">
        <v>4</v>
      </c>
      <c r="C65" s="1" t="s">
        <v>27</v>
      </c>
      <c r="D65" s="1" t="s">
        <v>20</v>
      </c>
      <c r="E65" s="1">
        <v>7108</v>
      </c>
      <c r="F65" s="1">
        <v>0</v>
      </c>
      <c r="G65" s="1">
        <v>17685354.300000001</v>
      </c>
      <c r="H65" s="1" t="e">
        <v>#DIV/0!</v>
      </c>
    </row>
    <row r="66" spans="1:8" x14ac:dyDescent="0.35">
      <c r="A66">
        <v>2020</v>
      </c>
      <c r="B66" t="s">
        <v>4</v>
      </c>
      <c r="C66" t="s">
        <v>32</v>
      </c>
      <c r="D66" t="s">
        <v>20</v>
      </c>
      <c r="E66">
        <v>7108</v>
      </c>
      <c r="F66">
        <v>74.930000000000007</v>
      </c>
      <c r="G66">
        <v>4598057.3899999997</v>
      </c>
      <c r="H66">
        <v>61364.705589999998</v>
      </c>
    </row>
    <row r="67" spans="1:8" x14ac:dyDescent="0.35">
      <c r="A67" s="1">
        <v>2020</v>
      </c>
      <c r="B67" s="1" t="s">
        <v>4</v>
      </c>
      <c r="C67" s="1" t="s">
        <v>21</v>
      </c>
      <c r="D67" s="1" t="s">
        <v>20</v>
      </c>
      <c r="E67" s="1">
        <v>7108</v>
      </c>
      <c r="F67" s="1">
        <v>0</v>
      </c>
      <c r="G67" s="1">
        <v>83447143.920000002</v>
      </c>
      <c r="H67" s="1" t="e">
        <v>#DIV/0!</v>
      </c>
    </row>
    <row r="68" spans="1:8" x14ac:dyDescent="0.35">
      <c r="A68" s="1">
        <v>2020</v>
      </c>
      <c r="B68" s="1" t="s">
        <v>4</v>
      </c>
      <c r="C68" s="1" t="s">
        <v>22</v>
      </c>
      <c r="D68" s="1" t="s">
        <v>20</v>
      </c>
      <c r="E68" s="1">
        <v>7108</v>
      </c>
      <c r="F68" s="1">
        <v>0</v>
      </c>
      <c r="G68" s="1">
        <v>739182243.70000005</v>
      </c>
      <c r="H68" s="1" t="e">
        <v>#DIV/0!</v>
      </c>
    </row>
    <row r="69" spans="1:8" x14ac:dyDescent="0.35">
      <c r="A69">
        <v>2020</v>
      </c>
      <c r="B69" t="s">
        <v>4</v>
      </c>
      <c r="C69" t="s">
        <v>3</v>
      </c>
      <c r="D69" t="s">
        <v>20</v>
      </c>
      <c r="E69">
        <v>7108</v>
      </c>
      <c r="F69">
        <v>0</v>
      </c>
      <c r="G69">
        <v>127193890</v>
      </c>
      <c r="H69" t="e">
        <v>#DIV/0!</v>
      </c>
    </row>
    <row r="70" spans="1:8" x14ac:dyDescent="0.35">
      <c r="A70">
        <v>2020</v>
      </c>
      <c r="B70" t="s">
        <v>4</v>
      </c>
      <c r="C70" t="s">
        <v>33</v>
      </c>
      <c r="D70" t="s">
        <v>20</v>
      </c>
      <c r="E70">
        <v>7108</v>
      </c>
      <c r="F70">
        <v>0</v>
      </c>
      <c r="G70">
        <v>10151003.560000001</v>
      </c>
      <c r="H70" t="e">
        <v>#DIV/0!</v>
      </c>
    </row>
    <row r="71" spans="1:8" x14ac:dyDescent="0.35">
      <c r="A71">
        <v>2020</v>
      </c>
      <c r="B71" t="s">
        <v>4</v>
      </c>
      <c r="C71" t="s">
        <v>20</v>
      </c>
      <c r="D71" t="s">
        <v>20</v>
      </c>
      <c r="E71">
        <v>710812</v>
      </c>
      <c r="F71">
        <v>4.2000000000000003E-2</v>
      </c>
      <c r="G71">
        <v>50.55</v>
      </c>
      <c r="H71">
        <v>1203.5714290000001</v>
      </c>
    </row>
    <row r="72" spans="1:8" x14ac:dyDescent="0.35">
      <c r="A72">
        <v>2020</v>
      </c>
      <c r="B72" t="s">
        <v>4</v>
      </c>
      <c r="C72" t="s">
        <v>31</v>
      </c>
      <c r="D72" t="s">
        <v>20</v>
      </c>
      <c r="E72">
        <v>710812</v>
      </c>
      <c r="F72">
        <v>4.2000000000000003E-2</v>
      </c>
      <c r="G72">
        <v>50.55</v>
      </c>
      <c r="H72">
        <v>1203.5714290000001</v>
      </c>
    </row>
    <row r="73" spans="1:8" x14ac:dyDescent="0.35">
      <c r="A73">
        <v>2020</v>
      </c>
      <c r="B73" t="s">
        <v>4</v>
      </c>
      <c r="C73" t="s">
        <v>20</v>
      </c>
      <c r="D73" t="s">
        <v>20</v>
      </c>
      <c r="E73">
        <v>710813</v>
      </c>
      <c r="F73">
        <v>0</v>
      </c>
      <c r="G73">
        <v>982257692.89999998</v>
      </c>
      <c r="H73" t="e">
        <v>#DIV/0!</v>
      </c>
    </row>
    <row r="74" spans="1:8" x14ac:dyDescent="0.35">
      <c r="A74" s="1">
        <v>2020</v>
      </c>
      <c r="B74" s="1" t="s">
        <v>4</v>
      </c>
      <c r="C74" s="1" t="s">
        <v>27</v>
      </c>
      <c r="D74" s="1" t="s">
        <v>20</v>
      </c>
      <c r="E74" s="1">
        <v>710813</v>
      </c>
      <c r="F74" s="1">
        <v>0</v>
      </c>
      <c r="G74" s="1">
        <v>17685354.300000001</v>
      </c>
      <c r="H74" s="1" t="e">
        <v>#DIV/0!</v>
      </c>
    </row>
    <row r="75" spans="1:8" x14ac:dyDescent="0.35">
      <c r="A75">
        <v>2020</v>
      </c>
      <c r="B75" t="s">
        <v>4</v>
      </c>
      <c r="C75" t="s">
        <v>32</v>
      </c>
      <c r="D75" t="s">
        <v>20</v>
      </c>
      <c r="E75">
        <v>710813</v>
      </c>
      <c r="F75">
        <v>74.930000000000007</v>
      </c>
      <c r="G75">
        <v>4598057.3899999997</v>
      </c>
      <c r="H75">
        <v>61364.705589999998</v>
      </c>
    </row>
    <row r="76" spans="1:8" x14ac:dyDescent="0.35">
      <c r="A76" s="1">
        <v>2020</v>
      </c>
      <c r="B76" s="1" t="s">
        <v>4</v>
      </c>
      <c r="C76" s="1" t="s">
        <v>21</v>
      </c>
      <c r="D76" s="1" t="s">
        <v>20</v>
      </c>
      <c r="E76" s="1">
        <v>710813</v>
      </c>
      <c r="F76" s="1">
        <v>0</v>
      </c>
      <c r="G76" s="1">
        <v>83447143.920000002</v>
      </c>
      <c r="H76" s="1" t="e">
        <v>#DIV/0!</v>
      </c>
    </row>
    <row r="77" spans="1:8" x14ac:dyDescent="0.35">
      <c r="A77" s="1">
        <v>2020</v>
      </c>
      <c r="B77" s="1" t="s">
        <v>4</v>
      </c>
      <c r="C77" s="1" t="s">
        <v>22</v>
      </c>
      <c r="D77" s="1" t="s">
        <v>20</v>
      </c>
      <c r="E77" s="1">
        <v>710813</v>
      </c>
      <c r="F77" s="1">
        <v>0</v>
      </c>
      <c r="G77" s="1">
        <v>739182243.70000005</v>
      </c>
      <c r="H77" s="1" t="e">
        <v>#DIV/0!</v>
      </c>
    </row>
    <row r="78" spans="1:8" x14ac:dyDescent="0.35">
      <c r="A78">
        <v>2020</v>
      </c>
      <c r="B78" t="s">
        <v>4</v>
      </c>
      <c r="C78" t="s">
        <v>3</v>
      </c>
      <c r="D78" t="s">
        <v>20</v>
      </c>
      <c r="E78">
        <v>710813</v>
      </c>
      <c r="F78">
        <v>0</v>
      </c>
      <c r="G78">
        <v>127193890</v>
      </c>
      <c r="H78" t="e">
        <v>#DIV/0!</v>
      </c>
    </row>
    <row r="79" spans="1:8" x14ac:dyDescent="0.35">
      <c r="A79">
        <v>2020</v>
      </c>
      <c r="B79" t="s">
        <v>4</v>
      </c>
      <c r="C79" t="s">
        <v>33</v>
      </c>
      <c r="D79" t="s">
        <v>20</v>
      </c>
      <c r="E79">
        <v>710813</v>
      </c>
      <c r="F79">
        <v>0</v>
      </c>
      <c r="G79">
        <v>10151003.560000001</v>
      </c>
      <c r="H79" t="e">
        <v>#DIV/0!</v>
      </c>
    </row>
    <row r="80" spans="1:8" x14ac:dyDescent="0.35">
      <c r="A80">
        <v>2020</v>
      </c>
      <c r="B80" t="s">
        <v>3</v>
      </c>
      <c r="C80" t="s">
        <v>20</v>
      </c>
      <c r="D80" t="s">
        <v>20</v>
      </c>
      <c r="E80">
        <v>7108</v>
      </c>
      <c r="F80">
        <v>0</v>
      </c>
      <c r="G80">
        <v>1818003348</v>
      </c>
      <c r="H80" t="e">
        <v>#DIV/0!</v>
      </c>
    </row>
    <row r="81" spans="1:8" x14ac:dyDescent="0.35">
      <c r="A81" s="1">
        <v>2020</v>
      </c>
      <c r="B81" s="1" t="s">
        <v>3</v>
      </c>
      <c r="C81" s="1" t="s">
        <v>27</v>
      </c>
      <c r="D81" s="1" t="s">
        <v>20</v>
      </c>
      <c r="E81" s="1">
        <v>7108</v>
      </c>
      <c r="F81" s="1">
        <v>0</v>
      </c>
      <c r="G81" s="1">
        <v>28723</v>
      </c>
      <c r="H81" s="1" t="e">
        <v>#DIV/0!</v>
      </c>
    </row>
    <row r="82" spans="1:8" x14ac:dyDescent="0.35">
      <c r="A82">
        <v>2020</v>
      </c>
      <c r="B82" t="s">
        <v>3</v>
      </c>
      <c r="C82" t="s">
        <v>34</v>
      </c>
      <c r="D82" t="s">
        <v>20</v>
      </c>
      <c r="E82">
        <v>7108</v>
      </c>
      <c r="F82">
        <v>0</v>
      </c>
      <c r="G82">
        <v>18245</v>
      </c>
      <c r="H82" t="e">
        <v>#DIV/0!</v>
      </c>
    </row>
    <row r="83" spans="1:8" x14ac:dyDescent="0.35">
      <c r="A83" s="1">
        <v>2020</v>
      </c>
      <c r="B83" s="1" t="s">
        <v>3</v>
      </c>
      <c r="C83" s="1" t="s">
        <v>22</v>
      </c>
      <c r="D83" s="1" t="s">
        <v>20</v>
      </c>
      <c r="E83" s="1">
        <v>7108</v>
      </c>
      <c r="F83" s="1">
        <v>32733</v>
      </c>
      <c r="G83" s="1">
        <v>1817954494</v>
      </c>
      <c r="H83" s="1">
        <v>55538.890229999997</v>
      </c>
    </row>
    <row r="84" spans="1:8" x14ac:dyDescent="0.35">
      <c r="A84" s="2">
        <v>2020</v>
      </c>
      <c r="B84" s="2" t="s">
        <v>3</v>
      </c>
      <c r="C84" s="2" t="s">
        <v>25</v>
      </c>
      <c r="D84" s="2" t="s">
        <v>20</v>
      </c>
      <c r="E84" s="2">
        <v>7108</v>
      </c>
      <c r="F84" s="2">
        <v>0</v>
      </c>
      <c r="G84" s="2">
        <v>1886</v>
      </c>
      <c r="H84" s="2" t="e">
        <v>#DIV/0!</v>
      </c>
    </row>
    <row r="85" spans="1:8" x14ac:dyDescent="0.35">
      <c r="A85">
        <v>2020</v>
      </c>
      <c r="B85" t="s">
        <v>3</v>
      </c>
      <c r="C85" t="s">
        <v>20</v>
      </c>
      <c r="D85" t="s">
        <v>20</v>
      </c>
      <c r="E85">
        <v>710812</v>
      </c>
      <c r="F85">
        <v>0</v>
      </c>
      <c r="G85">
        <v>48854</v>
      </c>
      <c r="H85" t="e">
        <v>#DIV/0!</v>
      </c>
    </row>
    <row r="86" spans="1:8" x14ac:dyDescent="0.35">
      <c r="A86" s="1">
        <v>2020</v>
      </c>
      <c r="B86" s="1" t="s">
        <v>3</v>
      </c>
      <c r="C86" s="1" t="s">
        <v>27</v>
      </c>
      <c r="D86" s="1" t="s">
        <v>20</v>
      </c>
      <c r="E86" s="1">
        <v>710812</v>
      </c>
      <c r="F86" s="1">
        <v>0</v>
      </c>
      <c r="G86" s="1">
        <v>28723</v>
      </c>
      <c r="H86" s="1" t="e">
        <v>#DIV/0!</v>
      </c>
    </row>
    <row r="87" spans="1:8" x14ac:dyDescent="0.35">
      <c r="A87">
        <v>2020</v>
      </c>
      <c r="B87" t="s">
        <v>3</v>
      </c>
      <c r="C87" t="s">
        <v>34</v>
      </c>
      <c r="D87" t="s">
        <v>20</v>
      </c>
      <c r="E87">
        <v>710812</v>
      </c>
      <c r="F87">
        <v>0</v>
      </c>
      <c r="G87">
        <v>18245</v>
      </c>
      <c r="H87" t="e">
        <v>#DIV/0!</v>
      </c>
    </row>
    <row r="88" spans="1:8" x14ac:dyDescent="0.35">
      <c r="A88" s="2">
        <v>2020</v>
      </c>
      <c r="B88" s="2" t="s">
        <v>3</v>
      </c>
      <c r="C88" s="2" t="s">
        <v>25</v>
      </c>
      <c r="D88" s="2" t="s">
        <v>20</v>
      </c>
      <c r="E88" s="2">
        <v>710812</v>
      </c>
      <c r="F88" s="2">
        <v>0</v>
      </c>
      <c r="G88" s="2">
        <v>1886</v>
      </c>
      <c r="H88" s="2" t="e">
        <v>#DIV/0!</v>
      </c>
    </row>
    <row r="89" spans="1:8" x14ac:dyDescent="0.35">
      <c r="A89">
        <v>2020</v>
      </c>
      <c r="B89" t="s">
        <v>3</v>
      </c>
      <c r="C89" t="s">
        <v>20</v>
      </c>
      <c r="D89" t="s">
        <v>20</v>
      </c>
      <c r="E89">
        <v>710813</v>
      </c>
      <c r="F89">
        <v>32733</v>
      </c>
      <c r="G89">
        <v>1817954494</v>
      </c>
      <c r="H89">
        <v>55538.890229999997</v>
      </c>
    </row>
    <row r="90" spans="1:8" x14ac:dyDescent="0.35">
      <c r="A90" s="1">
        <v>2020</v>
      </c>
      <c r="B90" s="1" t="s">
        <v>3</v>
      </c>
      <c r="C90" s="1" t="s">
        <v>22</v>
      </c>
      <c r="D90" s="1" t="s">
        <v>20</v>
      </c>
      <c r="E90" s="1">
        <v>710813</v>
      </c>
      <c r="F90" s="1">
        <v>32733</v>
      </c>
      <c r="G90" s="1">
        <v>1817954494</v>
      </c>
      <c r="H90" s="1">
        <v>55538.890229999997</v>
      </c>
    </row>
    <row r="91" spans="1:8" x14ac:dyDescent="0.35">
      <c r="A91">
        <v>2021</v>
      </c>
      <c r="B91" t="s">
        <v>4</v>
      </c>
      <c r="C91" t="s">
        <v>20</v>
      </c>
      <c r="D91" t="s">
        <v>20</v>
      </c>
      <c r="E91">
        <v>7108</v>
      </c>
      <c r="F91">
        <v>22573.538</v>
      </c>
      <c r="G91">
        <v>1612843356</v>
      </c>
      <c r="H91">
        <v>71448.40814</v>
      </c>
    </row>
    <row r="92" spans="1:8" x14ac:dyDescent="0.35">
      <c r="A92">
        <v>2021</v>
      </c>
      <c r="B92" t="s">
        <v>4</v>
      </c>
      <c r="C92" t="s">
        <v>32</v>
      </c>
      <c r="D92" t="s">
        <v>20</v>
      </c>
      <c r="E92">
        <v>7108</v>
      </c>
      <c r="F92">
        <v>82.328999999999994</v>
      </c>
      <c r="G92">
        <v>4629669.83</v>
      </c>
      <c r="H92">
        <v>56233.767319999999</v>
      </c>
    </row>
    <row r="93" spans="1:8" x14ac:dyDescent="0.35">
      <c r="A93" s="1">
        <v>2021</v>
      </c>
      <c r="B93" s="1" t="s">
        <v>4</v>
      </c>
      <c r="C93" s="1" t="s">
        <v>22</v>
      </c>
      <c r="D93" s="1" t="s">
        <v>20</v>
      </c>
      <c r="E93" s="1">
        <v>7108</v>
      </c>
      <c r="F93" s="1">
        <v>22415.894</v>
      </c>
      <c r="G93" s="1">
        <v>1604058775</v>
      </c>
      <c r="H93" s="1">
        <v>71558.991810000007</v>
      </c>
    </row>
    <row r="94" spans="1:8" x14ac:dyDescent="0.35">
      <c r="A94">
        <v>2021</v>
      </c>
      <c r="B94" t="s">
        <v>4</v>
      </c>
      <c r="C94" t="s">
        <v>3</v>
      </c>
      <c r="D94" t="s">
        <v>20</v>
      </c>
      <c r="E94">
        <v>7108</v>
      </c>
      <c r="F94">
        <v>75.314999999999998</v>
      </c>
      <c r="G94">
        <v>4154911.32</v>
      </c>
      <c r="H94">
        <v>55167.115709999998</v>
      </c>
    </row>
    <row r="95" spans="1:8" x14ac:dyDescent="0.35">
      <c r="A95">
        <v>2021</v>
      </c>
      <c r="B95" t="s">
        <v>4</v>
      </c>
      <c r="C95" t="s">
        <v>20</v>
      </c>
      <c r="D95" t="s">
        <v>20</v>
      </c>
      <c r="E95">
        <v>710813</v>
      </c>
      <c r="F95">
        <v>22573.538</v>
      </c>
      <c r="G95">
        <v>1612843356</v>
      </c>
      <c r="H95">
        <v>71448.40814</v>
      </c>
    </row>
    <row r="96" spans="1:8" x14ac:dyDescent="0.35">
      <c r="A96">
        <v>2021</v>
      </c>
      <c r="B96" t="s">
        <v>4</v>
      </c>
      <c r="C96" t="s">
        <v>32</v>
      </c>
      <c r="D96" t="s">
        <v>20</v>
      </c>
      <c r="E96">
        <v>710813</v>
      </c>
      <c r="F96">
        <v>82.328999999999994</v>
      </c>
      <c r="G96">
        <v>4629669.83</v>
      </c>
      <c r="H96">
        <v>56233.767319999999</v>
      </c>
    </row>
    <row r="97" spans="1:8" x14ac:dyDescent="0.35">
      <c r="A97" s="1">
        <v>2021</v>
      </c>
      <c r="B97" s="1" t="s">
        <v>4</v>
      </c>
      <c r="C97" s="1" t="s">
        <v>22</v>
      </c>
      <c r="D97" s="1" t="s">
        <v>20</v>
      </c>
      <c r="E97" s="1">
        <v>710813</v>
      </c>
      <c r="F97" s="1">
        <v>22415.894</v>
      </c>
      <c r="G97" s="1">
        <v>1604058775</v>
      </c>
      <c r="H97" s="1">
        <v>71558.991810000007</v>
      </c>
    </row>
    <row r="98" spans="1:8" x14ac:dyDescent="0.35">
      <c r="A98">
        <v>2021</v>
      </c>
      <c r="B98" t="s">
        <v>4</v>
      </c>
      <c r="C98" t="s">
        <v>3</v>
      </c>
      <c r="D98" t="s">
        <v>20</v>
      </c>
      <c r="E98">
        <v>710813</v>
      </c>
      <c r="F98">
        <v>75.314999999999998</v>
      </c>
      <c r="G98">
        <v>4154911.32</v>
      </c>
      <c r="H98">
        <v>55167.115709999998</v>
      </c>
    </row>
    <row r="99" spans="1:8" x14ac:dyDescent="0.35">
      <c r="A99">
        <v>2021</v>
      </c>
      <c r="B99" t="s">
        <v>3</v>
      </c>
      <c r="C99" t="s">
        <v>20</v>
      </c>
      <c r="D99" t="s">
        <v>20</v>
      </c>
      <c r="E99">
        <v>7108</v>
      </c>
      <c r="F99">
        <v>18444.240000000002</v>
      </c>
      <c r="G99">
        <v>1032854557</v>
      </c>
      <c r="H99">
        <v>55998.75935</v>
      </c>
    </row>
    <row r="100" spans="1:8" x14ac:dyDescent="0.35">
      <c r="A100" s="1">
        <v>2021</v>
      </c>
      <c r="B100" s="1" t="s">
        <v>3</v>
      </c>
      <c r="C100" s="1" t="s">
        <v>22</v>
      </c>
      <c r="D100" s="1" t="s">
        <v>20</v>
      </c>
      <c r="E100" s="1">
        <v>7108</v>
      </c>
      <c r="F100" s="1">
        <v>18444.240000000002</v>
      </c>
      <c r="G100" s="1">
        <v>1032854557</v>
      </c>
      <c r="H100" s="1">
        <v>55998.75935</v>
      </c>
    </row>
    <row r="101" spans="1:8" x14ac:dyDescent="0.35">
      <c r="A101">
        <v>2021</v>
      </c>
      <c r="B101" t="s">
        <v>3</v>
      </c>
      <c r="C101" t="s">
        <v>20</v>
      </c>
      <c r="D101" t="s">
        <v>20</v>
      </c>
      <c r="E101">
        <v>710812</v>
      </c>
      <c r="F101">
        <v>87.82</v>
      </c>
      <c r="G101">
        <v>4793412</v>
      </c>
      <c r="H101">
        <v>54582.236389999998</v>
      </c>
    </row>
    <row r="102" spans="1:8" x14ac:dyDescent="0.35">
      <c r="A102" s="1">
        <v>2021</v>
      </c>
      <c r="B102" s="1" t="s">
        <v>3</v>
      </c>
      <c r="C102" s="1" t="s">
        <v>22</v>
      </c>
      <c r="D102" s="1" t="s">
        <v>20</v>
      </c>
      <c r="E102" s="1">
        <v>710812</v>
      </c>
      <c r="F102" s="1">
        <v>87.82</v>
      </c>
      <c r="G102" s="1">
        <v>4793412</v>
      </c>
      <c r="H102" s="1">
        <v>54582.236389999998</v>
      </c>
    </row>
    <row r="103" spans="1:8" x14ac:dyDescent="0.35">
      <c r="A103">
        <v>2021</v>
      </c>
      <c r="B103" t="s">
        <v>3</v>
      </c>
      <c r="C103" t="s">
        <v>20</v>
      </c>
      <c r="D103" t="s">
        <v>20</v>
      </c>
      <c r="E103">
        <v>710813</v>
      </c>
      <c r="F103">
        <v>18356.419999999998</v>
      </c>
      <c r="G103">
        <v>1028061145</v>
      </c>
      <c r="H103">
        <v>56005.536220000002</v>
      </c>
    </row>
    <row r="104" spans="1:8" x14ac:dyDescent="0.35">
      <c r="A104" s="1">
        <v>2021</v>
      </c>
      <c r="B104" s="1" t="s">
        <v>3</v>
      </c>
      <c r="C104" s="1" t="s">
        <v>22</v>
      </c>
      <c r="D104" s="1" t="s">
        <v>20</v>
      </c>
      <c r="E104" s="1">
        <v>710813</v>
      </c>
      <c r="F104" s="1">
        <v>18356.419999999998</v>
      </c>
      <c r="G104" s="1">
        <v>1028061145</v>
      </c>
      <c r="H104" s="1">
        <v>56005.536220000002</v>
      </c>
    </row>
    <row r="105" spans="1:8" x14ac:dyDescent="0.35">
      <c r="A105">
        <v>2022</v>
      </c>
      <c r="B105" t="s">
        <v>4</v>
      </c>
      <c r="C105" t="s">
        <v>20</v>
      </c>
      <c r="D105" t="s">
        <v>20</v>
      </c>
      <c r="E105">
        <v>7108</v>
      </c>
      <c r="F105">
        <v>35706.178</v>
      </c>
      <c r="G105">
        <v>1992346633</v>
      </c>
      <c r="H105">
        <v>55798.372860000003</v>
      </c>
    </row>
    <row r="106" spans="1:8" x14ac:dyDescent="0.35">
      <c r="A106" s="1">
        <v>2022</v>
      </c>
      <c r="B106" s="1" t="s">
        <v>4</v>
      </c>
      <c r="C106" s="1" t="s">
        <v>27</v>
      </c>
      <c r="D106" s="1" t="s">
        <v>20</v>
      </c>
      <c r="E106" s="1">
        <v>7108</v>
      </c>
      <c r="F106" s="1">
        <v>5.0860000000000003</v>
      </c>
      <c r="G106" s="1">
        <v>296987.01</v>
      </c>
      <c r="H106" s="1">
        <v>58393.041680000002</v>
      </c>
    </row>
    <row r="107" spans="1:8" x14ac:dyDescent="0.35">
      <c r="A107">
        <v>2022</v>
      </c>
      <c r="B107" t="s">
        <v>4</v>
      </c>
      <c r="C107" t="s">
        <v>32</v>
      </c>
      <c r="D107" t="s">
        <v>20</v>
      </c>
      <c r="E107">
        <v>7108</v>
      </c>
      <c r="F107">
        <v>170.02199999999999</v>
      </c>
      <c r="G107">
        <v>10238545.17</v>
      </c>
      <c r="H107">
        <v>60218.943249999997</v>
      </c>
    </row>
    <row r="108" spans="1:8" x14ac:dyDescent="0.35">
      <c r="A108" s="1">
        <v>2022</v>
      </c>
      <c r="B108" s="1" t="s">
        <v>4</v>
      </c>
      <c r="C108" s="1" t="s">
        <v>22</v>
      </c>
      <c r="D108" s="1" t="s">
        <v>20</v>
      </c>
      <c r="E108" s="1">
        <v>7108</v>
      </c>
      <c r="F108" s="1">
        <v>35531.07</v>
      </c>
      <c r="G108" s="1">
        <v>1981811101</v>
      </c>
      <c r="H108" s="1">
        <v>55776.848299999998</v>
      </c>
    </row>
    <row r="109" spans="1:8" x14ac:dyDescent="0.35">
      <c r="A109">
        <v>2022</v>
      </c>
      <c r="B109" t="s">
        <v>4</v>
      </c>
      <c r="C109" t="s">
        <v>20</v>
      </c>
      <c r="D109" t="s">
        <v>20</v>
      </c>
      <c r="E109">
        <v>710813</v>
      </c>
      <c r="F109">
        <v>35706.178</v>
      </c>
      <c r="G109">
        <v>1992346633</v>
      </c>
      <c r="H109">
        <v>55798.372860000003</v>
      </c>
    </row>
    <row r="110" spans="1:8" x14ac:dyDescent="0.35">
      <c r="A110" s="1">
        <v>2022</v>
      </c>
      <c r="B110" s="1" t="s">
        <v>4</v>
      </c>
      <c r="C110" s="1" t="s">
        <v>27</v>
      </c>
      <c r="D110" s="1" t="s">
        <v>20</v>
      </c>
      <c r="E110" s="1">
        <v>710813</v>
      </c>
      <c r="F110" s="1">
        <v>5.0860000000000003</v>
      </c>
      <c r="G110" s="1">
        <v>296987.01</v>
      </c>
      <c r="H110" s="1">
        <v>58393.041680000002</v>
      </c>
    </row>
    <row r="111" spans="1:8" x14ac:dyDescent="0.35">
      <c r="A111">
        <v>2022</v>
      </c>
      <c r="B111" t="s">
        <v>4</v>
      </c>
      <c r="C111" t="s">
        <v>32</v>
      </c>
      <c r="D111" t="s">
        <v>20</v>
      </c>
      <c r="E111">
        <v>710813</v>
      </c>
      <c r="F111">
        <v>170.02199999999999</v>
      </c>
      <c r="G111">
        <v>10238545.17</v>
      </c>
      <c r="H111">
        <v>60218.943249999997</v>
      </c>
    </row>
    <row r="112" spans="1:8" x14ac:dyDescent="0.35">
      <c r="A112" s="1">
        <v>2022</v>
      </c>
      <c r="B112" s="1" t="s">
        <v>4</v>
      </c>
      <c r="C112" s="1" t="s">
        <v>22</v>
      </c>
      <c r="D112" s="1" t="s">
        <v>20</v>
      </c>
      <c r="E112" s="1">
        <v>710813</v>
      </c>
      <c r="F112" s="1">
        <v>35531.07</v>
      </c>
      <c r="G112" s="1">
        <v>1981811101</v>
      </c>
      <c r="H112" s="1">
        <v>55776.848299999998</v>
      </c>
    </row>
    <row r="113" spans="1:8" x14ac:dyDescent="0.35">
      <c r="A113">
        <v>2023</v>
      </c>
      <c r="B113" t="s">
        <v>4</v>
      </c>
      <c r="C113" t="s">
        <v>20</v>
      </c>
      <c r="D113" t="s">
        <v>20</v>
      </c>
      <c r="E113">
        <v>7108</v>
      </c>
      <c r="F113">
        <v>0</v>
      </c>
      <c r="G113">
        <v>1805476918</v>
      </c>
      <c r="H113" t="e">
        <v>#DIV/0!</v>
      </c>
    </row>
    <row r="114" spans="1:8" x14ac:dyDescent="0.35">
      <c r="A114">
        <v>2023</v>
      </c>
      <c r="B114" t="s">
        <v>4</v>
      </c>
      <c r="C114" t="s">
        <v>32</v>
      </c>
      <c r="D114" t="s">
        <v>20</v>
      </c>
      <c r="E114">
        <v>7108</v>
      </c>
      <c r="F114">
        <v>0</v>
      </c>
      <c r="G114">
        <v>12557723.140000001</v>
      </c>
      <c r="H114" t="e">
        <v>#DIV/0!</v>
      </c>
    </row>
    <row r="115" spans="1:8" x14ac:dyDescent="0.35">
      <c r="A115" s="1">
        <v>2023</v>
      </c>
      <c r="B115" s="1" t="s">
        <v>4</v>
      </c>
      <c r="C115" s="1" t="s">
        <v>22</v>
      </c>
      <c r="D115" s="1" t="s">
        <v>20</v>
      </c>
      <c r="E115" s="1">
        <v>7108</v>
      </c>
      <c r="F115" s="1">
        <v>28943.86</v>
      </c>
      <c r="G115" s="1">
        <v>1792919195</v>
      </c>
      <c r="H115" s="1">
        <v>61944.716260000001</v>
      </c>
    </row>
    <row r="116" spans="1:8" x14ac:dyDescent="0.35">
      <c r="A116">
        <v>2023</v>
      </c>
      <c r="B116" t="s">
        <v>4</v>
      </c>
      <c r="C116" t="s">
        <v>20</v>
      </c>
      <c r="D116" t="s">
        <v>20</v>
      </c>
      <c r="E116">
        <v>710813</v>
      </c>
      <c r="F116">
        <v>0</v>
      </c>
      <c r="G116">
        <v>1805476918</v>
      </c>
      <c r="H116" t="e">
        <v>#DIV/0!</v>
      </c>
    </row>
    <row r="117" spans="1:8" x14ac:dyDescent="0.35">
      <c r="A117">
        <v>2023</v>
      </c>
      <c r="B117" t="s">
        <v>4</v>
      </c>
      <c r="C117" t="s">
        <v>32</v>
      </c>
      <c r="D117" t="s">
        <v>20</v>
      </c>
      <c r="E117">
        <v>710813</v>
      </c>
      <c r="F117">
        <v>0</v>
      </c>
      <c r="G117">
        <v>12557723.140000001</v>
      </c>
      <c r="H117" t="e">
        <v>#DIV/0!</v>
      </c>
    </row>
    <row r="118" spans="1:8" x14ac:dyDescent="0.35">
      <c r="A118" s="1">
        <v>2023</v>
      </c>
      <c r="B118" s="1" t="s">
        <v>4</v>
      </c>
      <c r="C118" s="1" t="s">
        <v>22</v>
      </c>
      <c r="D118" s="1" t="s">
        <v>20</v>
      </c>
      <c r="E118" s="1">
        <v>710813</v>
      </c>
      <c r="F118" s="1">
        <v>28943.86</v>
      </c>
      <c r="G118" s="1">
        <v>1792919195</v>
      </c>
      <c r="H118" s="1">
        <v>61944.716260000001</v>
      </c>
    </row>
  </sheetData>
  <autoFilter ref="A1:H118" xr:uid="{BEDA2B7B-3AC9-3F48-AE94-CC5081FAF61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BC33-51EB-C04C-A744-2A73CE47CB77}">
  <dimension ref="A3:D65"/>
  <sheetViews>
    <sheetView zoomScale="90" zoomScaleNormal="90" workbookViewId="0">
      <selection activeCell="M25" sqref="M25"/>
    </sheetView>
  </sheetViews>
  <sheetFormatPr defaultColWidth="11" defaultRowHeight="16.149999999999999" x14ac:dyDescent="0.35"/>
  <cols>
    <col min="1" max="1" width="18.1796875" bestFit="1" customWidth="1"/>
    <col min="2" max="2" width="16" bestFit="1" customWidth="1"/>
    <col min="3" max="4" width="12.1796875" bestFit="1" customWidth="1"/>
    <col min="5" max="5" width="11.1796875" bestFit="1" customWidth="1"/>
    <col min="6" max="6" width="19.1796875" bestFit="1" customWidth="1"/>
    <col min="7" max="7" width="9.6328125" bestFit="1" customWidth="1"/>
    <col min="8" max="8" width="23" bestFit="1" customWidth="1"/>
    <col min="9" max="9" width="14.36328125" bestFit="1" customWidth="1"/>
    <col min="10" max="10" width="23.6328125" bestFit="1" customWidth="1"/>
    <col min="11" max="11" width="10.1796875" bestFit="1" customWidth="1"/>
    <col min="12" max="21" width="12.1796875" bestFit="1" customWidth="1"/>
    <col min="22" max="22" width="11.1796875" bestFit="1" customWidth="1"/>
    <col min="23" max="23" width="12.1796875" bestFit="1" customWidth="1"/>
    <col min="24" max="24" width="11.1796875" bestFit="1" customWidth="1"/>
    <col min="25" max="27" width="12.1796875" bestFit="1" customWidth="1"/>
    <col min="28" max="28" width="9.1796875" bestFit="1" customWidth="1"/>
    <col min="29" max="29" width="12.1796875" bestFit="1" customWidth="1"/>
    <col min="30" max="30" width="9.1796875" bestFit="1" customWidth="1"/>
    <col min="31" max="31" width="10.1796875" bestFit="1" customWidth="1"/>
    <col min="32" max="36" width="12.1796875" bestFit="1" customWidth="1"/>
    <col min="37" max="37" width="11.1796875" bestFit="1" customWidth="1"/>
    <col min="38" max="43" width="12.1796875" bestFit="1" customWidth="1"/>
    <col min="44" max="44" width="11.1796875" bestFit="1" customWidth="1"/>
    <col min="45" max="54" width="12.1796875" bestFit="1" customWidth="1"/>
    <col min="55" max="55" width="11.1796875" bestFit="1" customWidth="1"/>
    <col min="56" max="57" width="12.1796875" bestFit="1" customWidth="1"/>
    <col min="58" max="58" width="10.1796875" bestFit="1" customWidth="1"/>
    <col min="59" max="59" width="12.1796875" bestFit="1" customWidth="1"/>
    <col min="60" max="60" width="5.1796875" bestFit="1" customWidth="1"/>
    <col min="61" max="61" width="6.1796875" bestFit="1" customWidth="1"/>
    <col min="62" max="62" width="9.1796875" bestFit="1" customWidth="1"/>
    <col min="63" max="64" width="12.1796875" bestFit="1" customWidth="1"/>
    <col min="65" max="65" width="9.1796875" bestFit="1" customWidth="1"/>
    <col min="66" max="69" width="12.1796875" bestFit="1" customWidth="1"/>
    <col min="70" max="70" width="11.1796875" bestFit="1" customWidth="1"/>
    <col min="71" max="71" width="12.1796875" bestFit="1" customWidth="1"/>
    <col min="72" max="72" width="10.1796875" bestFit="1" customWidth="1"/>
    <col min="73" max="75" width="12.1796875" bestFit="1" customWidth="1"/>
    <col min="76" max="76" width="11.1796875" bestFit="1" customWidth="1"/>
    <col min="77" max="77" width="12.1796875" bestFit="1" customWidth="1"/>
    <col min="78" max="78" width="11.1796875" bestFit="1" customWidth="1"/>
    <col min="79" max="81" width="12.1796875" bestFit="1" customWidth="1"/>
    <col min="82" max="82" width="9.1796875" bestFit="1" customWidth="1"/>
    <col min="83" max="83" width="11.1796875" bestFit="1" customWidth="1"/>
    <col min="84" max="84" width="9.1796875" bestFit="1" customWidth="1"/>
    <col min="85" max="85" width="10.1796875" bestFit="1" customWidth="1"/>
    <col min="86" max="90" width="12.1796875" bestFit="1" customWidth="1"/>
    <col min="91" max="91" width="10.1796875" bestFit="1" customWidth="1"/>
    <col min="92" max="97" width="12.1796875" bestFit="1" customWidth="1"/>
    <col min="98" max="98" width="11.1796875" bestFit="1" customWidth="1"/>
    <col min="99" max="108" width="12.1796875" bestFit="1" customWidth="1"/>
    <col min="109" max="109" width="7.453125" bestFit="1" customWidth="1"/>
    <col min="110" max="110" width="23" bestFit="1" customWidth="1"/>
    <col min="111" max="111" width="14.36328125" bestFit="1" customWidth="1"/>
  </cols>
  <sheetData>
    <row r="3" spans="1:4" x14ac:dyDescent="0.35">
      <c r="A3" s="4" t="s">
        <v>0</v>
      </c>
      <c r="B3" s="4" t="s">
        <v>1</v>
      </c>
    </row>
    <row r="4" spans="1:4" x14ac:dyDescent="0.35">
      <c r="A4" s="4" t="s">
        <v>2</v>
      </c>
      <c r="B4" t="s">
        <v>3</v>
      </c>
      <c r="C4" t="s">
        <v>4</v>
      </c>
      <c r="D4" t="s">
        <v>5</v>
      </c>
    </row>
    <row r="5" spans="1:4" x14ac:dyDescent="0.35">
      <c r="A5" s="5">
        <v>2017</v>
      </c>
      <c r="B5">
        <v>151152997.21181819</v>
      </c>
      <c r="C5">
        <v>443012787.05000001</v>
      </c>
      <c r="D5">
        <v>274041329.77526313</v>
      </c>
    </row>
    <row r="6" spans="1:4" x14ac:dyDescent="0.35">
      <c r="A6" s="5">
        <v>2018</v>
      </c>
      <c r="B6">
        <v>147304007.73571429</v>
      </c>
      <c r="C6">
        <v>570764498.4000001</v>
      </c>
      <c r="D6">
        <v>301289640.7045455</v>
      </c>
    </row>
    <row r="7" spans="1:4" x14ac:dyDescent="0.35">
      <c r="A7" s="5">
        <v>2019</v>
      </c>
      <c r="B7">
        <v>418916862.69083327</v>
      </c>
      <c r="C7">
        <v>531957004.94499993</v>
      </c>
      <c r="D7">
        <v>464132919.59250003</v>
      </c>
    </row>
    <row r="8" spans="1:4" x14ac:dyDescent="0.35">
      <c r="A8" s="5">
        <v>2020</v>
      </c>
      <c r="B8">
        <v>661092126.5454545</v>
      </c>
      <c r="C8">
        <v>231119469.04058823</v>
      </c>
      <c r="D8">
        <v>400037298.77464277</v>
      </c>
    </row>
    <row r="9" spans="1:4" x14ac:dyDescent="0.35">
      <c r="A9" s="5">
        <v>2021</v>
      </c>
      <c r="B9">
        <v>688569704.66666663</v>
      </c>
      <c r="C9">
        <v>806421678.0374999</v>
      </c>
      <c r="D9">
        <v>755913689.44999993</v>
      </c>
    </row>
    <row r="10" spans="1:4" x14ac:dyDescent="0.35">
      <c r="A10" s="5">
        <v>2022</v>
      </c>
      <c r="C10">
        <v>996173316.54500008</v>
      </c>
      <c r="D10">
        <v>996173316.54500008</v>
      </c>
    </row>
    <row r="11" spans="1:4" x14ac:dyDescent="0.35">
      <c r="A11" s="5">
        <v>2023</v>
      </c>
      <c r="C11">
        <v>1203651278.7133334</v>
      </c>
      <c r="D11">
        <v>1203651278.7133334</v>
      </c>
    </row>
    <row r="12" spans="1:4" x14ac:dyDescent="0.35">
      <c r="A12" s="5" t="s">
        <v>5</v>
      </c>
      <c r="B12">
        <v>373247649.07259256</v>
      </c>
      <c r="C12">
        <v>602183697.23476183</v>
      </c>
      <c r="D12">
        <v>496520905.77529907</v>
      </c>
    </row>
    <row r="30" spans="1:4" x14ac:dyDescent="0.35">
      <c r="A30" s="4" t="s">
        <v>6</v>
      </c>
      <c r="B30" s="4" t="s">
        <v>1</v>
      </c>
    </row>
    <row r="31" spans="1:4" x14ac:dyDescent="0.35">
      <c r="A31" s="4" t="s">
        <v>2</v>
      </c>
      <c r="B31" t="s">
        <v>3</v>
      </c>
      <c r="C31" t="s">
        <v>4</v>
      </c>
      <c r="D31" t="s">
        <v>5</v>
      </c>
    </row>
    <row r="32" spans="1:4" x14ac:dyDescent="0.35">
      <c r="A32" s="5">
        <v>2017</v>
      </c>
      <c r="B32">
        <v>1662682969.3300002</v>
      </c>
      <c r="C32">
        <v>3544102296.4000001</v>
      </c>
      <c r="D32">
        <v>5206785265.7300005</v>
      </c>
    </row>
    <row r="33" spans="1:4" x14ac:dyDescent="0.35">
      <c r="A33" s="5">
        <v>2018</v>
      </c>
      <c r="B33">
        <v>2062256108.3000002</v>
      </c>
      <c r="C33">
        <v>4566115987.2000008</v>
      </c>
      <c r="D33">
        <v>6628372095.500001</v>
      </c>
    </row>
    <row r="34" spans="1:4" x14ac:dyDescent="0.35">
      <c r="A34" s="5">
        <v>2019</v>
      </c>
      <c r="B34">
        <v>5027002352.289999</v>
      </c>
      <c r="C34">
        <v>4255656039.5599995</v>
      </c>
      <c r="D34">
        <v>9282658391.8499985</v>
      </c>
    </row>
    <row r="35" spans="1:4" x14ac:dyDescent="0.35">
      <c r="A35" s="5">
        <v>2020</v>
      </c>
      <c r="B35">
        <v>7272013392</v>
      </c>
      <c r="C35">
        <v>3929030973.6900001</v>
      </c>
      <c r="D35">
        <v>11201044365.690001</v>
      </c>
    </row>
    <row r="36" spans="1:4" x14ac:dyDescent="0.35">
      <c r="A36" s="5">
        <v>2021</v>
      </c>
      <c r="B36">
        <v>4131418228</v>
      </c>
      <c r="C36">
        <v>6451373424.2999992</v>
      </c>
      <c r="D36">
        <v>10582791652.299999</v>
      </c>
    </row>
    <row r="37" spans="1:4" x14ac:dyDescent="0.35">
      <c r="A37" s="5">
        <v>2022</v>
      </c>
      <c r="C37">
        <v>7969386532.3600006</v>
      </c>
      <c r="D37">
        <v>7969386532.3600006</v>
      </c>
    </row>
    <row r="38" spans="1:4" x14ac:dyDescent="0.35">
      <c r="A38" s="5">
        <v>2023</v>
      </c>
      <c r="C38">
        <v>7221907672.2800007</v>
      </c>
      <c r="D38">
        <v>7221907672.2800007</v>
      </c>
    </row>
    <row r="39" spans="1:4" x14ac:dyDescent="0.35">
      <c r="A39" s="5" t="s">
        <v>5</v>
      </c>
      <c r="B39">
        <v>20155373049.919998</v>
      </c>
      <c r="C39">
        <v>37937572925.790001</v>
      </c>
      <c r="D39">
        <v>58092945975.710007</v>
      </c>
    </row>
    <row r="53" spans="1:4" x14ac:dyDescent="0.35">
      <c r="B53" s="6"/>
    </row>
    <row r="54" spans="1:4" x14ac:dyDescent="0.35">
      <c r="B54" s="7"/>
    </row>
    <row r="55" spans="1:4" x14ac:dyDescent="0.35">
      <c r="B55" s="7"/>
    </row>
    <row r="56" spans="1:4" x14ac:dyDescent="0.35">
      <c r="A56" s="4" t="s">
        <v>7</v>
      </c>
      <c r="B56" s="4" t="s">
        <v>1</v>
      </c>
    </row>
    <row r="57" spans="1:4" x14ac:dyDescent="0.35">
      <c r="A57" s="4" t="s">
        <v>2</v>
      </c>
      <c r="B57" t="s">
        <v>3</v>
      </c>
      <c r="C57" t="s">
        <v>4</v>
      </c>
      <c r="D57" t="s">
        <v>5</v>
      </c>
    </row>
    <row r="58" spans="1:4" x14ac:dyDescent="0.35">
      <c r="A58" s="5">
        <v>2017</v>
      </c>
      <c r="B58">
        <v>415670742.30000001</v>
      </c>
      <c r="C58">
        <v>886025574.10000002</v>
      </c>
      <c r="D58">
        <v>886025574.10000002</v>
      </c>
    </row>
    <row r="59" spans="1:4" x14ac:dyDescent="0.35">
      <c r="A59" s="5">
        <v>2018</v>
      </c>
      <c r="B59">
        <v>515564027.10000002</v>
      </c>
      <c r="C59">
        <v>1141528997</v>
      </c>
      <c r="D59">
        <v>1141528997</v>
      </c>
    </row>
    <row r="60" spans="1:4" x14ac:dyDescent="0.35">
      <c r="A60" s="5">
        <v>2019</v>
      </c>
      <c r="B60">
        <v>1256750588</v>
      </c>
      <c r="C60">
        <v>1063914010</v>
      </c>
      <c r="D60">
        <v>1256750588</v>
      </c>
    </row>
    <row r="61" spans="1:4" x14ac:dyDescent="0.35">
      <c r="A61" s="5">
        <v>2020</v>
      </c>
      <c r="B61">
        <v>1818003348</v>
      </c>
      <c r="C61">
        <v>982257743.39999998</v>
      </c>
      <c r="D61">
        <v>1818003348</v>
      </c>
    </row>
    <row r="62" spans="1:4" x14ac:dyDescent="0.35">
      <c r="A62" s="5">
        <v>2021</v>
      </c>
      <c r="B62">
        <v>1032854557</v>
      </c>
      <c r="C62">
        <v>1612843356</v>
      </c>
      <c r="D62">
        <v>1612843356</v>
      </c>
    </row>
    <row r="63" spans="1:4" x14ac:dyDescent="0.35">
      <c r="A63" s="5">
        <v>2022</v>
      </c>
      <c r="C63">
        <v>1992346633</v>
      </c>
      <c r="D63">
        <v>1992346633</v>
      </c>
    </row>
    <row r="64" spans="1:4" x14ac:dyDescent="0.35">
      <c r="A64" s="5">
        <v>2023</v>
      </c>
      <c r="C64">
        <v>1805476918</v>
      </c>
      <c r="D64">
        <v>1805476918</v>
      </c>
    </row>
    <row r="65" spans="1:4" x14ac:dyDescent="0.35">
      <c r="A65" s="5" t="s">
        <v>5</v>
      </c>
      <c r="B65">
        <v>1818003348</v>
      </c>
      <c r="C65">
        <v>1992346633</v>
      </c>
      <c r="D65">
        <v>1992346633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B531-DF6F-A144-A4DD-2018C47B5293}">
  <dimension ref="A1:D53"/>
  <sheetViews>
    <sheetView topLeftCell="A86" zoomScale="90" zoomScaleNormal="90" workbookViewId="0">
      <selection activeCell="F18" sqref="F18"/>
    </sheetView>
  </sheetViews>
  <sheetFormatPr defaultColWidth="11" defaultRowHeight="16.149999999999999" x14ac:dyDescent="0.35"/>
  <cols>
    <col min="1" max="1" width="13" bestFit="1" customWidth="1"/>
    <col min="2" max="2" width="16" bestFit="1" customWidth="1"/>
    <col min="3" max="3" width="10.1796875" bestFit="1" customWidth="1"/>
    <col min="4" max="4" width="10.453125" bestFit="1" customWidth="1"/>
  </cols>
  <sheetData>
    <row r="1" spans="1:4" x14ac:dyDescent="0.35">
      <c r="A1" s="4" t="s">
        <v>8</v>
      </c>
      <c r="B1" s="4" t="s">
        <v>1</v>
      </c>
    </row>
    <row r="2" spans="1:4" x14ac:dyDescent="0.35">
      <c r="A2" s="4" t="s">
        <v>2</v>
      </c>
      <c r="B2" t="s">
        <v>3</v>
      </c>
      <c r="C2" t="s">
        <v>4</v>
      </c>
      <c r="D2" t="s">
        <v>5</v>
      </c>
    </row>
    <row r="3" spans="1:4" x14ac:dyDescent="0.35">
      <c r="A3" s="5">
        <v>2017</v>
      </c>
      <c r="B3">
        <v>42333.32</v>
      </c>
      <c r="C3">
        <v>87600.092000000004</v>
      </c>
      <c r="D3">
        <v>129933.41200000001</v>
      </c>
    </row>
    <row r="4" spans="1:4" x14ac:dyDescent="0.35">
      <c r="A4" s="5">
        <v>2018</v>
      </c>
      <c r="B4">
        <v>51152</v>
      </c>
      <c r="C4">
        <v>112444</v>
      </c>
      <c r="D4">
        <v>163596</v>
      </c>
    </row>
    <row r="5" spans="1:4" x14ac:dyDescent="0.35">
      <c r="A5" s="5">
        <v>2019</v>
      </c>
      <c r="B5">
        <v>115130.12399999998</v>
      </c>
      <c r="C5">
        <v>94320.72</v>
      </c>
      <c r="D5">
        <v>209450.84399999998</v>
      </c>
    </row>
    <row r="6" spans="1:4" x14ac:dyDescent="0.35">
      <c r="A6" s="5">
        <v>2020</v>
      </c>
      <c r="B6">
        <v>98199</v>
      </c>
      <c r="C6">
        <v>149.98600000000002</v>
      </c>
      <c r="D6">
        <v>98348.986000000004</v>
      </c>
    </row>
    <row r="7" spans="1:4" x14ac:dyDescent="0.35">
      <c r="A7" s="5">
        <v>2021</v>
      </c>
      <c r="B7">
        <v>73776.959999999992</v>
      </c>
      <c r="C7">
        <v>90294.152000000002</v>
      </c>
      <c r="D7">
        <v>164071.11199999999</v>
      </c>
    </row>
    <row r="8" spans="1:4" x14ac:dyDescent="0.35">
      <c r="A8" s="5">
        <v>2022</v>
      </c>
      <c r="C8">
        <v>142824.712</v>
      </c>
      <c r="D8">
        <v>142824.712</v>
      </c>
    </row>
    <row r="9" spans="1:4" x14ac:dyDescent="0.35">
      <c r="A9" s="5">
        <v>2023</v>
      </c>
      <c r="C9">
        <v>57887.72</v>
      </c>
      <c r="D9">
        <v>57887.72</v>
      </c>
    </row>
    <row r="10" spans="1:4" x14ac:dyDescent="0.35">
      <c r="A10" s="5" t="s">
        <v>5</v>
      </c>
      <c r="B10">
        <v>380591.40399999998</v>
      </c>
      <c r="C10">
        <v>585521.38199999998</v>
      </c>
      <c r="D10">
        <v>966112.78599999985</v>
      </c>
    </row>
    <row r="22" spans="1:4" x14ac:dyDescent="0.35">
      <c r="A22" s="4" t="s">
        <v>9</v>
      </c>
      <c r="B22" s="4" t="s">
        <v>1</v>
      </c>
    </row>
    <row r="23" spans="1:4" x14ac:dyDescent="0.35">
      <c r="A23" s="4" t="s">
        <v>2</v>
      </c>
      <c r="B23" t="s">
        <v>3</v>
      </c>
      <c r="C23" t="s">
        <v>4</v>
      </c>
      <c r="D23" t="s">
        <v>5</v>
      </c>
    </row>
    <row r="24" spans="1:4" x14ac:dyDescent="0.35">
      <c r="A24" s="5">
        <v>2017</v>
      </c>
      <c r="B24">
        <v>3848.4836363636364</v>
      </c>
      <c r="C24">
        <v>10950.011500000001</v>
      </c>
      <c r="D24">
        <v>6838.6006315789482</v>
      </c>
    </row>
    <row r="25" spans="1:4" x14ac:dyDescent="0.35">
      <c r="A25" s="5">
        <v>2018</v>
      </c>
      <c r="B25">
        <v>3653.7142857142858</v>
      </c>
      <c r="C25">
        <v>14055.5</v>
      </c>
      <c r="D25">
        <v>7436.181818181818</v>
      </c>
    </row>
    <row r="26" spans="1:4" x14ac:dyDescent="0.35">
      <c r="A26" s="5">
        <v>2019</v>
      </c>
      <c r="B26">
        <v>9594.1769999999979</v>
      </c>
      <c r="C26">
        <v>11790.09</v>
      </c>
      <c r="D26">
        <v>10472.5422</v>
      </c>
    </row>
    <row r="27" spans="1:4" x14ac:dyDescent="0.35">
      <c r="A27" s="5">
        <v>2020</v>
      </c>
      <c r="B27">
        <v>8927.181818181818</v>
      </c>
      <c r="C27">
        <v>8.8227058823529418</v>
      </c>
      <c r="D27">
        <v>3512.4637857142852</v>
      </c>
    </row>
    <row r="28" spans="1:4" x14ac:dyDescent="0.35">
      <c r="A28" s="5">
        <v>2021</v>
      </c>
      <c r="B28">
        <v>12296.159999999998</v>
      </c>
      <c r="C28">
        <v>11286.769</v>
      </c>
      <c r="D28">
        <v>11719.365142857143</v>
      </c>
    </row>
    <row r="29" spans="1:4" x14ac:dyDescent="0.35">
      <c r="A29" s="5">
        <v>2022</v>
      </c>
      <c r="C29">
        <v>17853.089</v>
      </c>
      <c r="D29">
        <v>17853.089</v>
      </c>
    </row>
    <row r="30" spans="1:4" x14ac:dyDescent="0.35">
      <c r="A30" s="5">
        <v>2023</v>
      </c>
      <c r="C30">
        <v>9647.9533333333329</v>
      </c>
      <c r="D30">
        <v>9647.9533333333329</v>
      </c>
    </row>
    <row r="31" spans="1:4" x14ac:dyDescent="0.35">
      <c r="A31" s="5" t="s">
        <v>5</v>
      </c>
      <c r="B31">
        <v>7047.9889629629624</v>
      </c>
      <c r="C31">
        <v>9293.9901904761919</v>
      </c>
      <c r="D31">
        <v>8257.3742393162393</v>
      </c>
    </row>
    <row r="44" spans="1:4" x14ac:dyDescent="0.35">
      <c r="A44" s="4" t="s">
        <v>10</v>
      </c>
      <c r="B44" s="4" t="s">
        <v>1</v>
      </c>
    </row>
    <row r="45" spans="1:4" x14ac:dyDescent="0.35">
      <c r="A45" s="4" t="s">
        <v>2</v>
      </c>
      <c r="B45" t="s">
        <v>3</v>
      </c>
      <c r="C45" t="s">
        <v>4</v>
      </c>
      <c r="D45" t="s">
        <v>5</v>
      </c>
    </row>
    <row r="46" spans="1:4" x14ac:dyDescent="0.35">
      <c r="A46" s="5">
        <v>2017</v>
      </c>
      <c r="B46">
        <v>10583.33</v>
      </c>
      <c r="C46">
        <v>21900.023000000001</v>
      </c>
      <c r="D46">
        <v>21900.023000000001</v>
      </c>
    </row>
    <row r="47" spans="1:4" x14ac:dyDescent="0.35">
      <c r="A47" s="5">
        <v>2018</v>
      </c>
      <c r="B47">
        <v>12788</v>
      </c>
      <c r="C47">
        <v>28111</v>
      </c>
      <c r="D47">
        <v>28111</v>
      </c>
    </row>
    <row r="48" spans="1:4" x14ac:dyDescent="0.35">
      <c r="A48" s="5">
        <v>2019</v>
      </c>
      <c r="B48">
        <v>28782.530999999999</v>
      </c>
      <c r="C48">
        <v>23580.18</v>
      </c>
      <c r="D48">
        <v>28782.530999999999</v>
      </c>
    </row>
    <row r="49" spans="1:4" x14ac:dyDescent="0.35">
      <c r="A49" s="5">
        <v>2020</v>
      </c>
      <c r="B49">
        <v>32733</v>
      </c>
      <c r="C49">
        <v>74.930000000000007</v>
      </c>
      <c r="D49">
        <v>32733</v>
      </c>
    </row>
    <row r="50" spans="1:4" x14ac:dyDescent="0.35">
      <c r="A50" s="5">
        <v>2021</v>
      </c>
      <c r="B50">
        <v>18444.240000000002</v>
      </c>
      <c r="C50">
        <v>22573.538</v>
      </c>
      <c r="D50">
        <v>22573.538</v>
      </c>
    </row>
    <row r="51" spans="1:4" x14ac:dyDescent="0.35">
      <c r="A51" s="5">
        <v>2022</v>
      </c>
      <c r="C51">
        <v>35706.178</v>
      </c>
      <c r="D51">
        <v>35706.178</v>
      </c>
    </row>
    <row r="52" spans="1:4" x14ac:dyDescent="0.35">
      <c r="A52" s="5">
        <v>2023</v>
      </c>
      <c r="C52">
        <v>28943.86</v>
      </c>
      <c r="D52">
        <v>28943.86</v>
      </c>
    </row>
    <row r="53" spans="1:4" x14ac:dyDescent="0.35">
      <c r="A53" s="5" t="s">
        <v>5</v>
      </c>
      <c r="B53">
        <v>32733</v>
      </c>
      <c r="C53">
        <v>35706.178</v>
      </c>
      <c r="D53">
        <v>35706.178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C661-7312-1F44-BADC-B4141EF157F4}">
  <dimension ref="A1:D26"/>
  <sheetViews>
    <sheetView workbookViewId="0">
      <selection activeCell="R19" sqref="R19"/>
    </sheetView>
  </sheetViews>
  <sheetFormatPr defaultColWidth="11" defaultRowHeight="16.149999999999999" x14ac:dyDescent="0.35"/>
  <cols>
    <col min="1" max="1" width="17.81640625" bestFit="1" customWidth="1"/>
    <col min="2" max="2" width="16" bestFit="1" customWidth="1"/>
    <col min="3" max="4" width="12.1796875" bestFit="1" customWidth="1"/>
  </cols>
  <sheetData>
    <row r="1" spans="1:4" x14ac:dyDescent="0.35">
      <c r="A1" s="4" t="s">
        <v>11</v>
      </c>
      <c r="B1" s="4" t="s">
        <v>1</v>
      </c>
    </row>
    <row r="2" spans="1:4" x14ac:dyDescent="0.35">
      <c r="A2" s="4" t="s">
        <v>2</v>
      </c>
      <c r="B2" t="s">
        <v>3</v>
      </c>
      <c r="C2" t="s">
        <v>4</v>
      </c>
      <c r="D2" t="s">
        <v>5</v>
      </c>
    </row>
    <row r="3" spans="1:4" x14ac:dyDescent="0.35">
      <c r="A3" s="5">
        <v>2017</v>
      </c>
      <c r="B3">
        <v>342114.11939999997</v>
      </c>
      <c r="C3">
        <v>245128.09351019998</v>
      </c>
      <c r="D3">
        <v>587242.2129102</v>
      </c>
    </row>
    <row r="4" spans="1:4" x14ac:dyDescent="0.35">
      <c r="A4" s="5">
        <v>2018</v>
      </c>
      <c r="B4">
        <v>407032.11632000003</v>
      </c>
      <c r="C4">
        <v>322823.01780000003</v>
      </c>
      <c r="D4">
        <v>729855.13412000006</v>
      </c>
    </row>
    <row r="5" spans="1:4" x14ac:dyDescent="0.35">
      <c r="A5" s="5">
        <v>2019</v>
      </c>
      <c r="B5">
        <v>407168.174467</v>
      </c>
      <c r="C5">
        <v>367577.52176000003</v>
      </c>
      <c r="D5">
        <v>774745.69622700009</v>
      </c>
    </row>
    <row r="6" spans="1:4" x14ac:dyDescent="0.35">
      <c r="A6" s="5">
        <v>2020</v>
      </c>
      <c r="B6" t="e">
        <v>#DIV/0!</v>
      </c>
      <c r="C6" t="e">
        <v>#DIV/0!</v>
      </c>
      <c r="D6" t="e">
        <v>#DIV/0!</v>
      </c>
    </row>
    <row r="7" spans="1:4" x14ac:dyDescent="0.35">
      <c r="A7" s="5">
        <v>2021</v>
      </c>
      <c r="B7">
        <v>333173.06391999999</v>
      </c>
      <c r="C7">
        <v>508816.56595999998</v>
      </c>
      <c r="D7">
        <v>841989.62987999991</v>
      </c>
    </row>
    <row r="8" spans="1:4" x14ac:dyDescent="0.35">
      <c r="A8" s="5">
        <v>2022</v>
      </c>
      <c r="C8">
        <v>460374.41218000004</v>
      </c>
      <c r="D8">
        <v>460374.41218000004</v>
      </c>
    </row>
    <row r="9" spans="1:4" x14ac:dyDescent="0.35">
      <c r="A9" s="5">
        <v>2023</v>
      </c>
      <c r="C9" t="e">
        <v>#DIV/0!</v>
      </c>
      <c r="D9" t="e">
        <v>#DIV/0!</v>
      </c>
    </row>
    <row r="10" spans="1:4" x14ac:dyDescent="0.35">
      <c r="A10" s="5" t="s">
        <v>5</v>
      </c>
      <c r="B10" t="e">
        <v>#DIV/0!</v>
      </c>
      <c r="C10" t="e">
        <v>#DIV/0!</v>
      </c>
      <c r="D10" t="e">
        <v>#DIV/0!</v>
      </c>
    </row>
    <row r="17" spans="1:4" x14ac:dyDescent="0.35">
      <c r="A17" s="4" t="s">
        <v>11</v>
      </c>
      <c r="B17" s="4" t="s">
        <v>1</v>
      </c>
    </row>
    <row r="18" spans="1:4" x14ac:dyDescent="0.35">
      <c r="A18" s="4" t="s">
        <v>2</v>
      </c>
      <c r="B18" t="s">
        <v>3</v>
      </c>
      <c r="C18" t="s">
        <v>4</v>
      </c>
      <c r="D18" t="s">
        <v>5</v>
      </c>
    </row>
    <row r="19" spans="1:4" x14ac:dyDescent="0.35">
      <c r="A19" s="5">
        <v>2017</v>
      </c>
      <c r="B19">
        <v>342114.11939999997</v>
      </c>
      <c r="C19">
        <v>245128.09351019998</v>
      </c>
      <c r="D19">
        <v>587242.2129102</v>
      </c>
    </row>
    <row r="20" spans="1:4" x14ac:dyDescent="0.35">
      <c r="A20" s="5">
        <v>2018</v>
      </c>
      <c r="B20">
        <v>407032.11632000003</v>
      </c>
      <c r="C20">
        <v>322823.01780000003</v>
      </c>
      <c r="D20">
        <v>729855.13412000006</v>
      </c>
    </row>
    <row r="21" spans="1:4" x14ac:dyDescent="0.35">
      <c r="A21" s="5">
        <v>2019</v>
      </c>
      <c r="B21">
        <v>407168.174467</v>
      </c>
      <c r="C21">
        <v>367577.52176000003</v>
      </c>
      <c r="D21">
        <v>774745.69622700009</v>
      </c>
    </row>
    <row r="22" spans="1:4" x14ac:dyDescent="0.35">
      <c r="A22" s="5">
        <v>2020</v>
      </c>
      <c r="B22">
        <v>166616.67069</v>
      </c>
      <c r="C22">
        <v>126340.12546700001</v>
      </c>
      <c r="D22">
        <v>292956.796157</v>
      </c>
    </row>
    <row r="23" spans="1:4" x14ac:dyDescent="0.35">
      <c r="A23" s="5">
        <v>2021</v>
      </c>
      <c r="B23">
        <v>333173.06391999999</v>
      </c>
      <c r="C23">
        <v>508816.56595999998</v>
      </c>
      <c r="D23">
        <v>841989.62987999991</v>
      </c>
    </row>
    <row r="24" spans="1:4" x14ac:dyDescent="0.35">
      <c r="A24" s="5">
        <v>2022</v>
      </c>
      <c r="C24">
        <v>460374.41218000004</v>
      </c>
      <c r="D24">
        <v>460374.41218000004</v>
      </c>
    </row>
    <row r="25" spans="1:4" x14ac:dyDescent="0.35">
      <c r="A25" s="5">
        <v>2023</v>
      </c>
      <c r="C25">
        <v>123889.43252</v>
      </c>
      <c r="D25">
        <v>123889.43252</v>
      </c>
    </row>
    <row r="26" spans="1:4" x14ac:dyDescent="0.35">
      <c r="A26" s="5" t="s">
        <v>5</v>
      </c>
      <c r="B26">
        <v>1656104.1447970001</v>
      </c>
      <c r="C26">
        <v>2154949.1691971999</v>
      </c>
      <c r="D26">
        <v>3811053.3139942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6FEC-FE62-CE45-AAD9-6CD37FD626FE}">
  <dimension ref="A1:H94"/>
  <sheetViews>
    <sheetView topLeftCell="A76" workbookViewId="0"/>
  </sheetViews>
  <sheetFormatPr defaultColWidth="11" defaultRowHeight="16.149999999999999" x14ac:dyDescent="0.35"/>
  <sheetData>
    <row r="1" spans="1:8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>
        <v>2017</v>
      </c>
      <c r="B2" t="s">
        <v>4</v>
      </c>
      <c r="C2" t="s">
        <v>20</v>
      </c>
      <c r="D2" t="s">
        <v>20</v>
      </c>
      <c r="E2">
        <v>7108</v>
      </c>
      <c r="F2">
        <v>21900.023000000001</v>
      </c>
      <c r="G2">
        <v>886025574.10000002</v>
      </c>
      <c r="H2">
        <v>40457.746279999999</v>
      </c>
    </row>
    <row r="3" spans="1:8" x14ac:dyDescent="0.35">
      <c r="A3" s="1">
        <v>2017</v>
      </c>
      <c r="B3" s="1" t="s">
        <v>4</v>
      </c>
      <c r="C3" s="1" t="s">
        <v>21</v>
      </c>
      <c r="D3" s="1" t="s">
        <v>20</v>
      </c>
      <c r="E3" s="1">
        <v>7108</v>
      </c>
      <c r="F3" s="1">
        <v>17164.582999999999</v>
      </c>
      <c r="G3" s="1">
        <v>691971331.20000005</v>
      </c>
      <c r="H3" s="1">
        <v>40313.902829999999</v>
      </c>
    </row>
    <row r="4" spans="1:8" x14ac:dyDescent="0.35">
      <c r="A4" s="1">
        <v>2017</v>
      </c>
      <c r="B4" s="1" t="s">
        <v>4</v>
      </c>
      <c r="C4" s="1" t="s">
        <v>22</v>
      </c>
      <c r="D4" s="1" t="s">
        <v>20</v>
      </c>
      <c r="E4" s="1">
        <v>7108</v>
      </c>
      <c r="F4" s="1">
        <v>4735.4399999999996</v>
      </c>
      <c r="G4" s="1">
        <v>194054242.90000001</v>
      </c>
      <c r="H4" s="1">
        <v>40979.13665</v>
      </c>
    </row>
    <row r="5" spans="1:8" x14ac:dyDescent="0.35">
      <c r="A5">
        <v>2017</v>
      </c>
      <c r="B5" t="s">
        <v>4</v>
      </c>
      <c r="C5" t="s">
        <v>20</v>
      </c>
      <c r="D5" t="s">
        <v>20</v>
      </c>
      <c r="E5">
        <v>710812</v>
      </c>
      <c r="F5">
        <v>0.123</v>
      </c>
      <c r="G5">
        <v>100</v>
      </c>
      <c r="H5">
        <v>813.00813010000002</v>
      </c>
    </row>
    <row r="6" spans="1:8" x14ac:dyDescent="0.35">
      <c r="A6" s="1">
        <v>2017</v>
      </c>
      <c r="B6" s="1" t="s">
        <v>4</v>
      </c>
      <c r="C6" s="1" t="s">
        <v>21</v>
      </c>
      <c r="D6" s="1" t="s">
        <v>20</v>
      </c>
      <c r="E6" s="1">
        <v>710812</v>
      </c>
      <c r="F6" s="1">
        <v>0.123</v>
      </c>
      <c r="G6" s="1">
        <v>100</v>
      </c>
      <c r="H6" s="1">
        <v>813.00813010000002</v>
      </c>
    </row>
    <row r="7" spans="1:8" x14ac:dyDescent="0.35">
      <c r="A7">
        <v>2017</v>
      </c>
      <c r="B7" t="s">
        <v>4</v>
      </c>
      <c r="C7" t="s">
        <v>20</v>
      </c>
      <c r="D7" t="s">
        <v>20</v>
      </c>
      <c r="E7">
        <v>710813</v>
      </c>
      <c r="F7">
        <v>21899.9</v>
      </c>
      <c r="G7">
        <v>886025474.10000002</v>
      </c>
      <c r="H7">
        <v>40457.968939999999</v>
      </c>
    </row>
    <row r="8" spans="1:8" x14ac:dyDescent="0.35">
      <c r="A8" s="1">
        <v>2017</v>
      </c>
      <c r="B8" s="1" t="s">
        <v>4</v>
      </c>
      <c r="C8" s="1" t="s">
        <v>21</v>
      </c>
      <c r="D8" s="1" t="s">
        <v>20</v>
      </c>
      <c r="E8" s="1">
        <v>710813</v>
      </c>
      <c r="F8" s="1">
        <v>17164.46</v>
      </c>
      <c r="G8" s="1">
        <v>691971231.20000005</v>
      </c>
      <c r="H8" s="1">
        <v>40314.185899999997</v>
      </c>
    </row>
    <row r="9" spans="1:8" x14ac:dyDescent="0.35">
      <c r="A9" s="1">
        <v>2017</v>
      </c>
      <c r="B9" s="1" t="s">
        <v>4</v>
      </c>
      <c r="C9" s="1" t="s">
        <v>22</v>
      </c>
      <c r="D9" s="1" t="s">
        <v>20</v>
      </c>
      <c r="E9" s="1">
        <v>710813</v>
      </c>
      <c r="F9" s="1">
        <v>4735.4399999999996</v>
      </c>
      <c r="G9" s="1">
        <v>194054242.90000001</v>
      </c>
      <c r="H9" s="1">
        <v>40979.13665</v>
      </c>
    </row>
    <row r="10" spans="1:8" x14ac:dyDescent="0.35">
      <c r="A10">
        <v>2017</v>
      </c>
      <c r="B10" t="s">
        <v>3</v>
      </c>
      <c r="C10" t="s">
        <v>20</v>
      </c>
      <c r="D10" t="s">
        <v>20</v>
      </c>
      <c r="E10">
        <v>7108</v>
      </c>
      <c r="F10">
        <v>10583.33</v>
      </c>
      <c r="G10">
        <v>415670742.30000001</v>
      </c>
      <c r="H10">
        <v>39275.988019999997</v>
      </c>
    </row>
    <row r="11" spans="1:8" x14ac:dyDescent="0.35">
      <c r="A11">
        <v>2017</v>
      </c>
      <c r="B11" t="s">
        <v>3</v>
      </c>
      <c r="C11" t="s">
        <v>23</v>
      </c>
      <c r="D11" t="s">
        <v>20</v>
      </c>
      <c r="E11">
        <v>7108</v>
      </c>
      <c r="F11">
        <v>293</v>
      </c>
      <c r="G11">
        <v>12452723.039999999</v>
      </c>
      <c r="H11">
        <v>42500.761229999996</v>
      </c>
    </row>
    <row r="12" spans="1:8" x14ac:dyDescent="0.35">
      <c r="A12" s="1">
        <v>2017</v>
      </c>
      <c r="B12" s="1" t="s">
        <v>3</v>
      </c>
      <c r="C12" s="1" t="s">
        <v>22</v>
      </c>
      <c r="D12" s="1" t="s">
        <v>20</v>
      </c>
      <c r="E12" s="1">
        <v>7108</v>
      </c>
      <c r="F12" s="1">
        <v>9765.33</v>
      </c>
      <c r="G12" s="1">
        <v>400380291.39999998</v>
      </c>
      <c r="H12" s="1">
        <v>41000.180370000002</v>
      </c>
    </row>
    <row r="13" spans="1:8" x14ac:dyDescent="0.35">
      <c r="A13">
        <v>2017</v>
      </c>
      <c r="B13" t="s">
        <v>3</v>
      </c>
      <c r="C13" t="s">
        <v>24</v>
      </c>
      <c r="D13" t="s">
        <v>20</v>
      </c>
      <c r="E13">
        <v>7108</v>
      </c>
      <c r="F13">
        <v>25</v>
      </c>
      <c r="G13">
        <v>1050858.55</v>
      </c>
      <c r="H13">
        <v>42034.341999999997</v>
      </c>
    </row>
    <row r="14" spans="1:8" x14ac:dyDescent="0.35">
      <c r="A14" s="2">
        <v>2017</v>
      </c>
      <c r="B14" s="2" t="s">
        <v>3</v>
      </c>
      <c r="C14" s="2" t="s">
        <v>25</v>
      </c>
      <c r="D14" s="2" t="s">
        <v>20</v>
      </c>
      <c r="E14" s="2">
        <v>7108</v>
      </c>
      <c r="F14" s="2">
        <v>500</v>
      </c>
      <c r="G14" s="2">
        <v>1786869.35</v>
      </c>
      <c r="H14" s="2">
        <v>3573.7386999999999</v>
      </c>
    </row>
    <row r="15" spans="1:8" x14ac:dyDescent="0.35">
      <c r="A15">
        <v>2017</v>
      </c>
      <c r="B15" t="s">
        <v>3</v>
      </c>
      <c r="C15" t="s">
        <v>20</v>
      </c>
      <c r="D15" t="s">
        <v>20</v>
      </c>
      <c r="E15">
        <v>710812</v>
      </c>
      <c r="F15">
        <v>500</v>
      </c>
      <c r="G15">
        <v>1786869.35</v>
      </c>
      <c r="H15">
        <v>3573.7386999999999</v>
      </c>
    </row>
    <row r="16" spans="1:8" x14ac:dyDescent="0.35">
      <c r="A16" s="2">
        <v>2017</v>
      </c>
      <c r="B16" s="2" t="s">
        <v>3</v>
      </c>
      <c r="C16" s="2" t="s">
        <v>25</v>
      </c>
      <c r="D16" s="2" t="s">
        <v>20</v>
      </c>
      <c r="E16" s="2">
        <v>710812</v>
      </c>
      <c r="F16" s="2">
        <v>500</v>
      </c>
      <c r="G16" s="2">
        <v>1786869.35</v>
      </c>
      <c r="H16" s="2">
        <v>3573.7386999999999</v>
      </c>
    </row>
    <row r="17" spans="1:8" x14ac:dyDescent="0.35">
      <c r="A17">
        <v>2017</v>
      </c>
      <c r="B17" t="s">
        <v>3</v>
      </c>
      <c r="C17" t="s">
        <v>20</v>
      </c>
      <c r="D17" t="s">
        <v>20</v>
      </c>
      <c r="E17">
        <v>710813</v>
      </c>
      <c r="F17">
        <v>10083.33</v>
      </c>
      <c r="G17">
        <v>413883873</v>
      </c>
      <c r="H17">
        <v>41046.348080000003</v>
      </c>
    </row>
    <row r="18" spans="1:8" x14ac:dyDescent="0.35">
      <c r="A18">
        <v>2017</v>
      </c>
      <c r="B18" t="s">
        <v>3</v>
      </c>
      <c r="C18" t="s">
        <v>23</v>
      </c>
      <c r="D18" t="s">
        <v>20</v>
      </c>
      <c r="E18">
        <v>710813</v>
      </c>
      <c r="F18">
        <v>293</v>
      </c>
      <c r="G18">
        <v>12452723.039999999</v>
      </c>
      <c r="H18">
        <v>42500.761229999996</v>
      </c>
    </row>
    <row r="19" spans="1:8" x14ac:dyDescent="0.35">
      <c r="A19" s="1">
        <v>2017</v>
      </c>
      <c r="B19" s="1" t="s">
        <v>3</v>
      </c>
      <c r="C19" s="1" t="s">
        <v>22</v>
      </c>
      <c r="D19" s="1" t="s">
        <v>20</v>
      </c>
      <c r="E19" s="1">
        <v>710813</v>
      </c>
      <c r="F19" s="1">
        <v>9765.33</v>
      </c>
      <c r="G19" s="1">
        <v>400380291.39999998</v>
      </c>
      <c r="H19" s="1">
        <v>41000.180370000002</v>
      </c>
    </row>
    <row r="20" spans="1:8" x14ac:dyDescent="0.35">
      <c r="A20">
        <v>2017</v>
      </c>
      <c r="B20" t="s">
        <v>3</v>
      </c>
      <c r="C20" t="s">
        <v>24</v>
      </c>
      <c r="D20" t="s">
        <v>20</v>
      </c>
      <c r="E20">
        <v>710813</v>
      </c>
      <c r="F20">
        <v>25</v>
      </c>
      <c r="G20">
        <v>1050858.55</v>
      </c>
      <c r="H20">
        <v>42034.341999999997</v>
      </c>
    </row>
    <row r="21" spans="1:8" x14ac:dyDescent="0.35">
      <c r="A21">
        <v>2018</v>
      </c>
      <c r="B21" t="s">
        <v>4</v>
      </c>
      <c r="C21" t="s">
        <v>20</v>
      </c>
      <c r="D21" t="s">
        <v>20</v>
      </c>
      <c r="E21">
        <v>7108</v>
      </c>
      <c r="F21">
        <v>28111</v>
      </c>
      <c r="G21">
        <v>1141528997</v>
      </c>
      <c r="H21">
        <v>40607.911370000002</v>
      </c>
    </row>
    <row r="22" spans="1:8" x14ac:dyDescent="0.35">
      <c r="A22" s="1">
        <v>2018</v>
      </c>
      <c r="B22" s="1" t="s">
        <v>4</v>
      </c>
      <c r="C22" s="1" t="s">
        <v>21</v>
      </c>
      <c r="D22" s="1" t="s">
        <v>20</v>
      </c>
      <c r="E22" s="1">
        <v>7108</v>
      </c>
      <c r="F22" s="1">
        <v>12984.7</v>
      </c>
      <c r="G22" s="1">
        <v>528445404.80000001</v>
      </c>
      <c r="H22" s="1">
        <v>40697.544399999999</v>
      </c>
    </row>
    <row r="23" spans="1:8" x14ac:dyDescent="0.35">
      <c r="A23" s="1">
        <v>2018</v>
      </c>
      <c r="B23" s="1" t="s">
        <v>4</v>
      </c>
      <c r="C23" s="1" t="s">
        <v>22</v>
      </c>
      <c r="D23" s="1" t="s">
        <v>20</v>
      </c>
      <c r="E23" s="1">
        <v>7108</v>
      </c>
      <c r="F23" s="1">
        <v>15083.8</v>
      </c>
      <c r="G23" s="1">
        <v>611401765.5</v>
      </c>
      <c r="H23" s="1">
        <v>40533.669600000001</v>
      </c>
    </row>
    <row r="24" spans="1:8" x14ac:dyDescent="0.35">
      <c r="A24">
        <v>2018</v>
      </c>
      <c r="B24" t="s">
        <v>4</v>
      </c>
      <c r="C24" t="s">
        <v>26</v>
      </c>
      <c r="D24" t="s">
        <v>20</v>
      </c>
      <c r="E24">
        <v>7108</v>
      </c>
      <c r="F24">
        <v>42.5</v>
      </c>
      <c r="G24">
        <v>1681826.3</v>
      </c>
      <c r="H24">
        <v>39572.383529999999</v>
      </c>
    </row>
    <row r="25" spans="1:8" x14ac:dyDescent="0.35">
      <c r="A25">
        <v>2018</v>
      </c>
      <c r="B25" t="s">
        <v>4</v>
      </c>
      <c r="C25" t="s">
        <v>20</v>
      </c>
      <c r="D25" t="s">
        <v>20</v>
      </c>
      <c r="E25">
        <v>710813</v>
      </c>
      <c r="F25">
        <v>28111</v>
      </c>
      <c r="G25">
        <v>1141528997</v>
      </c>
      <c r="H25">
        <v>40607.911370000002</v>
      </c>
    </row>
    <row r="26" spans="1:8" x14ac:dyDescent="0.35">
      <c r="A26" s="1">
        <v>2018</v>
      </c>
      <c r="B26" s="1" t="s">
        <v>4</v>
      </c>
      <c r="C26" s="1" t="s">
        <v>21</v>
      </c>
      <c r="D26" s="1" t="s">
        <v>20</v>
      </c>
      <c r="E26" s="1">
        <v>710813</v>
      </c>
      <c r="F26" s="1">
        <v>12984.7</v>
      </c>
      <c r="G26" s="1">
        <v>528445404.80000001</v>
      </c>
      <c r="H26" s="1">
        <v>40697.544399999999</v>
      </c>
    </row>
    <row r="27" spans="1:8" x14ac:dyDescent="0.35">
      <c r="A27" s="1">
        <v>2018</v>
      </c>
      <c r="B27" s="1" t="s">
        <v>4</v>
      </c>
      <c r="C27" s="1" t="s">
        <v>22</v>
      </c>
      <c r="D27" s="1" t="s">
        <v>20</v>
      </c>
      <c r="E27" s="1">
        <v>710813</v>
      </c>
      <c r="F27" s="1">
        <v>15083.8</v>
      </c>
      <c r="G27" s="1">
        <v>611401765.5</v>
      </c>
      <c r="H27" s="1">
        <v>40533.669600000001</v>
      </c>
    </row>
    <row r="28" spans="1:8" x14ac:dyDescent="0.35">
      <c r="A28">
        <v>2018</v>
      </c>
      <c r="B28" t="s">
        <v>4</v>
      </c>
      <c r="C28" t="s">
        <v>26</v>
      </c>
      <c r="D28" t="s">
        <v>20</v>
      </c>
      <c r="E28">
        <v>710813</v>
      </c>
      <c r="F28">
        <v>42.5</v>
      </c>
      <c r="G28">
        <v>1681826.3</v>
      </c>
      <c r="H28">
        <v>39572.383529999999</v>
      </c>
    </row>
    <row r="29" spans="1:8" x14ac:dyDescent="0.35">
      <c r="A29">
        <v>2018</v>
      </c>
      <c r="B29" t="s">
        <v>3</v>
      </c>
      <c r="C29" t="s">
        <v>20</v>
      </c>
      <c r="D29" t="s">
        <v>20</v>
      </c>
      <c r="E29">
        <v>7108</v>
      </c>
      <c r="F29">
        <v>12788</v>
      </c>
      <c r="G29">
        <v>515564027.10000002</v>
      </c>
      <c r="H29">
        <v>40316.236089999999</v>
      </c>
    </row>
    <row r="30" spans="1:8" x14ac:dyDescent="0.35">
      <c r="A30">
        <v>2018</v>
      </c>
      <c r="B30" t="s">
        <v>3</v>
      </c>
      <c r="C30" t="s">
        <v>23</v>
      </c>
      <c r="D30" t="s">
        <v>20</v>
      </c>
      <c r="E30">
        <v>7108</v>
      </c>
      <c r="F30">
        <v>79</v>
      </c>
      <c r="G30">
        <v>1770276.49</v>
      </c>
      <c r="H30">
        <v>22408.563160000002</v>
      </c>
    </row>
    <row r="31" spans="1:8" x14ac:dyDescent="0.35">
      <c r="A31" s="1">
        <v>2018</v>
      </c>
      <c r="B31" s="1" t="s">
        <v>3</v>
      </c>
      <c r="C31" s="1" t="s">
        <v>27</v>
      </c>
      <c r="D31" s="1" t="s">
        <v>20</v>
      </c>
      <c r="E31" s="1">
        <v>7108</v>
      </c>
      <c r="F31" s="1">
        <v>6.5</v>
      </c>
      <c r="G31" s="1">
        <v>183907.95</v>
      </c>
      <c r="H31" s="1">
        <v>28293.530770000001</v>
      </c>
    </row>
    <row r="32" spans="1:8" x14ac:dyDescent="0.35">
      <c r="A32" s="1">
        <v>2018</v>
      </c>
      <c r="B32" s="1" t="s">
        <v>3</v>
      </c>
      <c r="C32" s="1" t="s">
        <v>28</v>
      </c>
      <c r="D32" s="1" t="s">
        <v>20</v>
      </c>
      <c r="E32" s="1">
        <v>7108</v>
      </c>
      <c r="F32" s="1">
        <v>2</v>
      </c>
      <c r="G32" s="1">
        <v>82897.5</v>
      </c>
      <c r="H32" s="1">
        <v>41448.75</v>
      </c>
    </row>
    <row r="33" spans="1:8" x14ac:dyDescent="0.35">
      <c r="A33" s="1">
        <v>2018</v>
      </c>
      <c r="B33" s="1" t="s">
        <v>3</v>
      </c>
      <c r="C33" s="1" t="s">
        <v>22</v>
      </c>
      <c r="D33" s="1" t="s">
        <v>20</v>
      </c>
      <c r="E33" s="1">
        <v>7108</v>
      </c>
      <c r="F33" s="1">
        <v>12699.5</v>
      </c>
      <c r="G33" s="1">
        <v>513507305.89999998</v>
      </c>
      <c r="H33" s="1">
        <v>40435.238069999999</v>
      </c>
    </row>
    <row r="34" spans="1:8" x14ac:dyDescent="0.35">
      <c r="A34">
        <v>2018</v>
      </c>
      <c r="B34" t="s">
        <v>3</v>
      </c>
      <c r="C34" t="s">
        <v>29</v>
      </c>
      <c r="D34" t="s">
        <v>20</v>
      </c>
      <c r="E34">
        <v>7108</v>
      </c>
      <c r="F34">
        <v>1</v>
      </c>
      <c r="G34">
        <v>19639.21</v>
      </c>
      <c r="H34">
        <v>19639.21</v>
      </c>
    </row>
    <row r="35" spans="1:8" x14ac:dyDescent="0.35">
      <c r="A35">
        <v>2018</v>
      </c>
      <c r="B35" t="s">
        <v>3</v>
      </c>
      <c r="C35" t="s">
        <v>20</v>
      </c>
      <c r="D35" t="s">
        <v>20</v>
      </c>
      <c r="E35">
        <v>710812</v>
      </c>
      <c r="F35">
        <v>1.5</v>
      </c>
      <c r="G35">
        <v>11874</v>
      </c>
      <c r="H35">
        <v>7916</v>
      </c>
    </row>
    <row r="36" spans="1:8" x14ac:dyDescent="0.35">
      <c r="A36" s="1">
        <v>2018</v>
      </c>
      <c r="B36" s="1" t="s">
        <v>3</v>
      </c>
      <c r="C36" s="1" t="s">
        <v>27</v>
      </c>
      <c r="D36" s="1" t="s">
        <v>20</v>
      </c>
      <c r="E36" s="1">
        <v>710812</v>
      </c>
      <c r="F36" s="1">
        <v>1.5</v>
      </c>
      <c r="G36" s="1">
        <v>11874</v>
      </c>
      <c r="H36" s="1">
        <v>7916</v>
      </c>
    </row>
    <row r="37" spans="1:8" x14ac:dyDescent="0.35">
      <c r="A37">
        <v>2018</v>
      </c>
      <c r="B37" t="s">
        <v>3</v>
      </c>
      <c r="C37" t="s">
        <v>20</v>
      </c>
      <c r="D37" t="s">
        <v>20</v>
      </c>
      <c r="E37">
        <v>710813</v>
      </c>
      <c r="F37">
        <v>12786.5</v>
      </c>
      <c r="G37">
        <v>515552153.10000002</v>
      </c>
      <c r="H37">
        <v>40320.036999999997</v>
      </c>
    </row>
    <row r="38" spans="1:8" x14ac:dyDescent="0.35">
      <c r="A38">
        <v>2018</v>
      </c>
      <c r="B38" t="s">
        <v>3</v>
      </c>
      <c r="C38" t="s">
        <v>23</v>
      </c>
      <c r="D38" t="s">
        <v>20</v>
      </c>
      <c r="E38">
        <v>710813</v>
      </c>
      <c r="F38">
        <v>79</v>
      </c>
      <c r="G38">
        <v>1770276.49</v>
      </c>
      <c r="H38">
        <v>22408.563160000002</v>
      </c>
    </row>
    <row r="39" spans="1:8" x14ac:dyDescent="0.35">
      <c r="A39" s="1">
        <v>2018</v>
      </c>
      <c r="B39" s="1" t="s">
        <v>3</v>
      </c>
      <c r="C39" s="1" t="s">
        <v>27</v>
      </c>
      <c r="D39" s="1" t="s">
        <v>20</v>
      </c>
      <c r="E39" s="1">
        <v>710813</v>
      </c>
      <c r="F39" s="1">
        <v>5</v>
      </c>
      <c r="G39" s="1">
        <v>172033.95</v>
      </c>
      <c r="H39" s="1">
        <v>34406.79</v>
      </c>
    </row>
    <row r="40" spans="1:8" x14ac:dyDescent="0.35">
      <c r="A40" s="1">
        <v>2018</v>
      </c>
      <c r="B40" s="1" t="s">
        <v>3</v>
      </c>
      <c r="C40" s="1" t="s">
        <v>28</v>
      </c>
      <c r="D40" s="1" t="s">
        <v>20</v>
      </c>
      <c r="E40" s="1">
        <v>710813</v>
      </c>
      <c r="F40" s="1">
        <v>2</v>
      </c>
      <c r="G40" s="1">
        <v>82897.5</v>
      </c>
      <c r="H40" s="1">
        <v>41448.75</v>
      </c>
    </row>
    <row r="41" spans="1:8" x14ac:dyDescent="0.35">
      <c r="A41" s="1">
        <v>2018</v>
      </c>
      <c r="B41" s="1" t="s">
        <v>3</v>
      </c>
      <c r="C41" s="1" t="s">
        <v>22</v>
      </c>
      <c r="D41" s="1" t="s">
        <v>20</v>
      </c>
      <c r="E41" s="1">
        <v>710813</v>
      </c>
      <c r="F41" s="1">
        <v>12699.5</v>
      </c>
      <c r="G41" s="1">
        <v>513507305.89999998</v>
      </c>
      <c r="H41" s="1">
        <v>40435.238069999999</v>
      </c>
    </row>
    <row r="42" spans="1:8" x14ac:dyDescent="0.35">
      <c r="A42">
        <v>2018</v>
      </c>
      <c r="B42" t="s">
        <v>3</v>
      </c>
      <c r="C42" t="s">
        <v>29</v>
      </c>
      <c r="D42" t="s">
        <v>20</v>
      </c>
      <c r="E42">
        <v>710813</v>
      </c>
      <c r="F42">
        <v>1</v>
      </c>
      <c r="G42">
        <v>19639.21</v>
      </c>
      <c r="H42">
        <v>19639.21</v>
      </c>
    </row>
    <row r="43" spans="1:8" x14ac:dyDescent="0.35">
      <c r="A43">
        <v>2019</v>
      </c>
      <c r="B43" t="s">
        <v>4</v>
      </c>
      <c r="C43" t="s">
        <v>20</v>
      </c>
      <c r="D43" t="s">
        <v>20</v>
      </c>
      <c r="E43">
        <v>7108</v>
      </c>
      <c r="F43">
        <v>23580.18</v>
      </c>
      <c r="G43">
        <v>1063914010</v>
      </c>
      <c r="H43">
        <v>45118.994420000003</v>
      </c>
    </row>
    <row r="44" spans="1:8" x14ac:dyDescent="0.35">
      <c r="A44" s="1">
        <v>2019</v>
      </c>
      <c r="B44" s="1" t="s">
        <v>4</v>
      </c>
      <c r="C44" s="1" t="s">
        <v>27</v>
      </c>
      <c r="D44" s="1" t="s">
        <v>20</v>
      </c>
      <c r="E44" s="1">
        <v>7108</v>
      </c>
      <c r="F44" s="1">
        <v>153.72999999999999</v>
      </c>
      <c r="G44" s="1">
        <v>7451174.6799999997</v>
      </c>
      <c r="H44" s="1">
        <v>48469.22969</v>
      </c>
    </row>
    <row r="45" spans="1:8" x14ac:dyDescent="0.35">
      <c r="A45" s="1">
        <v>2019</v>
      </c>
      <c r="B45" s="1" t="s">
        <v>4</v>
      </c>
      <c r="C45" s="1" t="s">
        <v>21</v>
      </c>
      <c r="D45" s="1" t="s">
        <v>20</v>
      </c>
      <c r="E45" s="1">
        <v>7108</v>
      </c>
      <c r="F45" s="1">
        <v>9125.25</v>
      </c>
      <c r="G45" s="1">
        <v>411685825</v>
      </c>
      <c r="H45" s="1">
        <v>45115.018770000002</v>
      </c>
    </row>
    <row r="46" spans="1:8" x14ac:dyDescent="0.35">
      <c r="A46" s="1">
        <v>2019</v>
      </c>
      <c r="B46" s="1" t="s">
        <v>4</v>
      </c>
      <c r="C46" s="1" t="s">
        <v>22</v>
      </c>
      <c r="D46" s="1" t="s">
        <v>20</v>
      </c>
      <c r="E46" s="1">
        <v>7108</v>
      </c>
      <c r="F46" s="1">
        <v>14301.2</v>
      </c>
      <c r="G46" s="1">
        <v>644777010.10000002</v>
      </c>
      <c r="H46" s="1">
        <v>45085.517999999996</v>
      </c>
    </row>
    <row r="47" spans="1:8" x14ac:dyDescent="0.35">
      <c r="A47">
        <v>2019</v>
      </c>
      <c r="B47" t="s">
        <v>4</v>
      </c>
      <c r="C47" t="s">
        <v>20</v>
      </c>
      <c r="D47" t="s">
        <v>20</v>
      </c>
      <c r="E47">
        <v>710813</v>
      </c>
      <c r="F47">
        <v>23580.18</v>
      </c>
      <c r="G47">
        <v>1063914010</v>
      </c>
      <c r="H47">
        <v>45118.994420000003</v>
      </c>
    </row>
    <row r="48" spans="1:8" x14ac:dyDescent="0.35">
      <c r="A48" s="1">
        <v>2019</v>
      </c>
      <c r="B48" s="1" t="s">
        <v>4</v>
      </c>
      <c r="C48" s="1" t="s">
        <v>27</v>
      </c>
      <c r="D48" s="1" t="s">
        <v>20</v>
      </c>
      <c r="E48" s="1">
        <v>710813</v>
      </c>
      <c r="F48" s="1">
        <v>153.72999999999999</v>
      </c>
      <c r="G48" s="1">
        <v>7451174.6799999997</v>
      </c>
      <c r="H48" s="1">
        <v>48469.22969</v>
      </c>
    </row>
    <row r="49" spans="1:8" x14ac:dyDescent="0.35">
      <c r="A49" s="1">
        <v>2019</v>
      </c>
      <c r="B49" s="1" t="s">
        <v>4</v>
      </c>
      <c r="C49" s="1" t="s">
        <v>21</v>
      </c>
      <c r="D49" s="1" t="s">
        <v>20</v>
      </c>
      <c r="E49" s="1">
        <v>710813</v>
      </c>
      <c r="F49" s="1">
        <v>9125.25</v>
      </c>
      <c r="G49" s="1">
        <v>411685825</v>
      </c>
      <c r="H49" s="1">
        <v>45115.018770000002</v>
      </c>
    </row>
    <row r="50" spans="1:8" x14ac:dyDescent="0.35">
      <c r="A50" s="1">
        <v>2019</v>
      </c>
      <c r="B50" s="1" t="s">
        <v>4</v>
      </c>
      <c r="C50" s="1" t="s">
        <v>22</v>
      </c>
      <c r="D50" s="1" t="s">
        <v>20</v>
      </c>
      <c r="E50" s="1">
        <v>710813</v>
      </c>
      <c r="F50" s="1">
        <v>14301.2</v>
      </c>
      <c r="G50" s="1">
        <v>644777010.10000002</v>
      </c>
      <c r="H50" s="1">
        <v>45085.517999999996</v>
      </c>
    </row>
    <row r="51" spans="1:8" x14ac:dyDescent="0.35">
      <c r="A51">
        <v>2019</v>
      </c>
      <c r="B51" t="s">
        <v>3</v>
      </c>
      <c r="C51" t="s">
        <v>20</v>
      </c>
      <c r="D51" t="s">
        <v>20</v>
      </c>
      <c r="E51">
        <v>7108</v>
      </c>
      <c r="F51">
        <v>28782.530999999999</v>
      </c>
      <c r="G51">
        <v>1256750588</v>
      </c>
      <c r="H51">
        <v>43663.657919999998</v>
      </c>
    </row>
    <row r="52" spans="1:8" x14ac:dyDescent="0.35">
      <c r="A52" s="1">
        <v>2019</v>
      </c>
      <c r="B52" s="1" t="s">
        <v>3</v>
      </c>
      <c r="C52" s="1" t="s">
        <v>27</v>
      </c>
      <c r="D52" s="1" t="s">
        <v>20</v>
      </c>
      <c r="E52" s="1">
        <v>7108</v>
      </c>
      <c r="F52" s="1">
        <v>1E-3</v>
      </c>
      <c r="G52" s="1">
        <v>9.9700000000000006</v>
      </c>
      <c r="H52" s="1">
        <v>9970</v>
      </c>
    </row>
    <row r="53" spans="1:8" x14ac:dyDescent="0.35">
      <c r="A53">
        <v>2019</v>
      </c>
      <c r="B53" t="s">
        <v>3</v>
      </c>
      <c r="C53" t="s">
        <v>30</v>
      </c>
      <c r="D53" t="s">
        <v>20</v>
      </c>
      <c r="E53">
        <v>7108</v>
      </c>
      <c r="F53">
        <v>1</v>
      </c>
      <c r="G53">
        <v>41885.86</v>
      </c>
      <c r="H53">
        <v>41885.86</v>
      </c>
    </row>
    <row r="54" spans="1:8" x14ac:dyDescent="0.35">
      <c r="A54" s="1">
        <v>2019</v>
      </c>
      <c r="B54" s="1" t="s">
        <v>3</v>
      </c>
      <c r="C54" s="1" t="s">
        <v>22</v>
      </c>
      <c r="D54" s="1" t="s">
        <v>20</v>
      </c>
      <c r="E54" s="1">
        <v>7108</v>
      </c>
      <c r="F54" s="1">
        <v>26180.6</v>
      </c>
      <c r="G54" s="1">
        <v>1148295585</v>
      </c>
      <c r="H54" s="1">
        <v>43860.552640000002</v>
      </c>
    </row>
    <row r="55" spans="1:8" x14ac:dyDescent="0.35">
      <c r="A55">
        <v>2019</v>
      </c>
      <c r="B55" t="s">
        <v>3</v>
      </c>
      <c r="C55" t="s">
        <v>24</v>
      </c>
      <c r="D55" t="s">
        <v>20</v>
      </c>
      <c r="E55">
        <v>7108</v>
      </c>
      <c r="F55">
        <v>2600.9299999999998</v>
      </c>
      <c r="G55">
        <v>108413107.40000001</v>
      </c>
      <c r="H55">
        <v>41682.4395</v>
      </c>
    </row>
    <row r="56" spans="1:8" x14ac:dyDescent="0.35">
      <c r="A56">
        <v>2019</v>
      </c>
      <c r="B56" t="s">
        <v>3</v>
      </c>
      <c r="C56" t="s">
        <v>20</v>
      </c>
      <c r="D56" t="s">
        <v>20</v>
      </c>
      <c r="E56">
        <v>710812</v>
      </c>
      <c r="F56">
        <v>1.151</v>
      </c>
      <c r="G56">
        <v>43042.83</v>
      </c>
      <c r="H56">
        <v>37396.029540000003</v>
      </c>
    </row>
    <row r="57" spans="1:8" x14ac:dyDescent="0.35">
      <c r="A57" s="1">
        <v>2019</v>
      </c>
      <c r="B57" s="1" t="s">
        <v>3</v>
      </c>
      <c r="C57" s="1" t="s">
        <v>27</v>
      </c>
      <c r="D57" s="1" t="s">
        <v>20</v>
      </c>
      <c r="E57" s="1">
        <v>710812</v>
      </c>
      <c r="F57" s="1">
        <v>1E-3</v>
      </c>
      <c r="G57" s="1">
        <v>9.9700000000000006</v>
      </c>
      <c r="H57" s="1">
        <v>9970</v>
      </c>
    </row>
    <row r="58" spans="1:8" x14ac:dyDescent="0.35">
      <c r="A58">
        <v>2019</v>
      </c>
      <c r="B58" t="s">
        <v>3</v>
      </c>
      <c r="C58" t="s">
        <v>30</v>
      </c>
      <c r="D58" t="s">
        <v>20</v>
      </c>
      <c r="E58">
        <v>710812</v>
      </c>
      <c r="F58">
        <v>1</v>
      </c>
      <c r="G58">
        <v>41885.86</v>
      </c>
      <c r="H58">
        <v>41885.86</v>
      </c>
    </row>
    <row r="59" spans="1:8" x14ac:dyDescent="0.35">
      <c r="A59" s="1">
        <v>2019</v>
      </c>
      <c r="B59" s="1" t="s">
        <v>3</v>
      </c>
      <c r="C59" s="1" t="s">
        <v>22</v>
      </c>
      <c r="D59" s="1" t="s">
        <v>20</v>
      </c>
      <c r="E59" s="1">
        <v>710812</v>
      </c>
      <c r="F59" s="1">
        <v>0.15</v>
      </c>
      <c r="G59" s="1">
        <v>1147</v>
      </c>
      <c r="H59" s="1">
        <v>7646.6666670000004</v>
      </c>
    </row>
    <row r="60" spans="1:8" x14ac:dyDescent="0.35">
      <c r="A60">
        <v>2019</v>
      </c>
      <c r="B60" t="s">
        <v>3</v>
      </c>
      <c r="C60" t="s">
        <v>20</v>
      </c>
      <c r="D60" t="s">
        <v>20</v>
      </c>
      <c r="E60">
        <v>710813</v>
      </c>
      <c r="F60">
        <v>28781.38</v>
      </c>
      <c r="G60">
        <v>1256707545</v>
      </c>
      <c r="H60">
        <v>43663.90857</v>
      </c>
    </row>
    <row r="61" spans="1:8" x14ac:dyDescent="0.35">
      <c r="A61" s="1">
        <v>2019</v>
      </c>
      <c r="B61" s="1" t="s">
        <v>3</v>
      </c>
      <c r="C61" s="1" t="s">
        <v>22</v>
      </c>
      <c r="D61" s="1" t="s">
        <v>20</v>
      </c>
      <c r="E61" s="1">
        <v>710813</v>
      </c>
      <c r="F61" s="1">
        <v>26180.45</v>
      </c>
      <c r="G61" s="1">
        <v>1148294438</v>
      </c>
      <c r="H61" s="1">
        <v>43860.760130000002</v>
      </c>
    </row>
    <row r="62" spans="1:8" x14ac:dyDescent="0.35">
      <c r="A62">
        <v>2019</v>
      </c>
      <c r="B62" t="s">
        <v>3</v>
      </c>
      <c r="C62" t="s">
        <v>24</v>
      </c>
      <c r="D62" t="s">
        <v>20</v>
      </c>
      <c r="E62">
        <v>710813</v>
      </c>
      <c r="F62">
        <v>2600.9299999999998</v>
      </c>
      <c r="G62">
        <v>108413107.40000001</v>
      </c>
      <c r="H62">
        <v>41682.4395</v>
      </c>
    </row>
    <row r="63" spans="1:8" x14ac:dyDescent="0.35">
      <c r="A63">
        <v>2020</v>
      </c>
      <c r="B63" t="s">
        <v>4</v>
      </c>
      <c r="C63" t="s">
        <v>31</v>
      </c>
      <c r="D63" t="s">
        <v>20</v>
      </c>
      <c r="E63">
        <v>7108</v>
      </c>
      <c r="F63">
        <v>4.2000000000000003E-2</v>
      </c>
      <c r="G63">
        <v>50.55</v>
      </c>
      <c r="H63">
        <v>1203.5714290000001</v>
      </c>
    </row>
    <row r="64" spans="1:8" x14ac:dyDescent="0.35">
      <c r="A64">
        <v>2020</v>
      </c>
      <c r="B64" t="s">
        <v>4</v>
      </c>
      <c r="C64" t="s">
        <v>32</v>
      </c>
      <c r="D64" t="s">
        <v>20</v>
      </c>
      <c r="E64">
        <v>7108</v>
      </c>
      <c r="F64">
        <v>74.930000000000007</v>
      </c>
      <c r="G64">
        <v>4598057.3899999997</v>
      </c>
      <c r="H64">
        <v>61364.705589999998</v>
      </c>
    </row>
    <row r="65" spans="1:8" x14ac:dyDescent="0.35">
      <c r="A65">
        <v>2020</v>
      </c>
      <c r="B65" t="s">
        <v>4</v>
      </c>
      <c r="C65" t="s">
        <v>20</v>
      </c>
      <c r="D65" t="s">
        <v>20</v>
      </c>
      <c r="E65">
        <v>710812</v>
      </c>
      <c r="F65">
        <v>4.2000000000000003E-2</v>
      </c>
      <c r="G65">
        <v>50.55</v>
      </c>
      <c r="H65">
        <v>1203.5714290000001</v>
      </c>
    </row>
    <row r="66" spans="1:8" x14ac:dyDescent="0.35">
      <c r="A66">
        <v>2020</v>
      </c>
      <c r="B66" t="s">
        <v>4</v>
      </c>
      <c r="C66" t="s">
        <v>31</v>
      </c>
      <c r="D66" t="s">
        <v>20</v>
      </c>
      <c r="E66">
        <v>710812</v>
      </c>
      <c r="F66">
        <v>4.2000000000000003E-2</v>
      </c>
      <c r="G66">
        <v>50.55</v>
      </c>
      <c r="H66">
        <v>1203.5714290000001</v>
      </c>
    </row>
    <row r="67" spans="1:8" x14ac:dyDescent="0.35">
      <c r="A67">
        <v>2020</v>
      </c>
      <c r="B67" t="s">
        <v>4</v>
      </c>
      <c r="C67" t="s">
        <v>32</v>
      </c>
      <c r="D67" t="s">
        <v>20</v>
      </c>
      <c r="E67">
        <v>710813</v>
      </c>
      <c r="F67">
        <v>74.930000000000007</v>
      </c>
      <c r="G67">
        <v>4598057.3899999997</v>
      </c>
      <c r="H67">
        <v>61364.705589999998</v>
      </c>
    </row>
    <row r="68" spans="1:8" x14ac:dyDescent="0.35">
      <c r="A68" s="1">
        <v>2020</v>
      </c>
      <c r="B68" s="1" t="s">
        <v>3</v>
      </c>
      <c r="C68" s="1" t="s">
        <v>22</v>
      </c>
      <c r="D68" s="1" t="s">
        <v>20</v>
      </c>
      <c r="E68" s="1">
        <v>7108</v>
      </c>
      <c r="F68" s="1">
        <v>32733</v>
      </c>
      <c r="G68" s="1">
        <v>1817954494</v>
      </c>
      <c r="H68" s="1">
        <v>55538.890229999997</v>
      </c>
    </row>
    <row r="69" spans="1:8" x14ac:dyDescent="0.35">
      <c r="A69">
        <v>2020</v>
      </c>
      <c r="B69" t="s">
        <v>3</v>
      </c>
      <c r="C69" t="s">
        <v>20</v>
      </c>
      <c r="D69" t="s">
        <v>20</v>
      </c>
      <c r="E69">
        <v>710813</v>
      </c>
      <c r="F69">
        <v>32733</v>
      </c>
      <c r="G69">
        <v>1817954494</v>
      </c>
      <c r="H69">
        <v>55538.890229999997</v>
      </c>
    </row>
    <row r="70" spans="1:8" x14ac:dyDescent="0.35">
      <c r="A70" s="1">
        <v>2020</v>
      </c>
      <c r="B70" s="1" t="s">
        <v>3</v>
      </c>
      <c r="C70" s="1" t="s">
        <v>22</v>
      </c>
      <c r="D70" s="1" t="s">
        <v>20</v>
      </c>
      <c r="E70" s="1">
        <v>710813</v>
      </c>
      <c r="F70" s="1">
        <v>32733</v>
      </c>
      <c r="G70" s="1">
        <v>1817954494</v>
      </c>
      <c r="H70" s="1">
        <v>55538.890229999997</v>
      </c>
    </row>
    <row r="71" spans="1:8" x14ac:dyDescent="0.35">
      <c r="A71">
        <v>2021</v>
      </c>
      <c r="B71" t="s">
        <v>4</v>
      </c>
      <c r="C71" t="s">
        <v>20</v>
      </c>
      <c r="D71" t="s">
        <v>20</v>
      </c>
      <c r="E71">
        <v>7108</v>
      </c>
      <c r="F71">
        <v>22573.538</v>
      </c>
      <c r="G71">
        <v>1612843356</v>
      </c>
      <c r="H71">
        <v>71448.40814</v>
      </c>
    </row>
    <row r="72" spans="1:8" x14ac:dyDescent="0.35">
      <c r="A72">
        <v>2021</v>
      </c>
      <c r="B72" t="s">
        <v>4</v>
      </c>
      <c r="C72" t="s">
        <v>32</v>
      </c>
      <c r="D72" t="s">
        <v>20</v>
      </c>
      <c r="E72">
        <v>7108</v>
      </c>
      <c r="F72">
        <v>82.328999999999994</v>
      </c>
      <c r="G72">
        <v>4629669.83</v>
      </c>
      <c r="H72">
        <v>56233.767319999999</v>
      </c>
    </row>
    <row r="73" spans="1:8" x14ac:dyDescent="0.35">
      <c r="A73" s="1">
        <v>2021</v>
      </c>
      <c r="B73" s="1" t="s">
        <v>4</v>
      </c>
      <c r="C73" s="1" t="s">
        <v>22</v>
      </c>
      <c r="D73" s="1" t="s">
        <v>20</v>
      </c>
      <c r="E73" s="1">
        <v>7108</v>
      </c>
      <c r="F73" s="1">
        <v>22415.894</v>
      </c>
      <c r="G73" s="1">
        <v>1604058775</v>
      </c>
      <c r="H73" s="1">
        <v>71558.991810000007</v>
      </c>
    </row>
    <row r="74" spans="1:8" x14ac:dyDescent="0.35">
      <c r="A74">
        <v>2021</v>
      </c>
      <c r="B74" t="s">
        <v>4</v>
      </c>
      <c r="C74" t="s">
        <v>3</v>
      </c>
      <c r="D74" t="s">
        <v>20</v>
      </c>
      <c r="E74">
        <v>7108</v>
      </c>
      <c r="F74">
        <v>75.314999999999998</v>
      </c>
      <c r="G74">
        <v>4154911.32</v>
      </c>
      <c r="H74">
        <v>55167.115709999998</v>
      </c>
    </row>
    <row r="75" spans="1:8" x14ac:dyDescent="0.35">
      <c r="A75">
        <v>2021</v>
      </c>
      <c r="B75" t="s">
        <v>4</v>
      </c>
      <c r="C75" t="s">
        <v>20</v>
      </c>
      <c r="D75" t="s">
        <v>20</v>
      </c>
      <c r="E75">
        <v>710813</v>
      </c>
      <c r="F75">
        <v>22573.538</v>
      </c>
      <c r="G75">
        <v>1612843356</v>
      </c>
      <c r="H75">
        <v>71448.40814</v>
      </c>
    </row>
    <row r="76" spans="1:8" x14ac:dyDescent="0.35">
      <c r="A76">
        <v>2021</v>
      </c>
      <c r="B76" t="s">
        <v>4</v>
      </c>
      <c r="C76" t="s">
        <v>32</v>
      </c>
      <c r="D76" t="s">
        <v>20</v>
      </c>
      <c r="E76">
        <v>710813</v>
      </c>
      <c r="F76">
        <v>82.328999999999994</v>
      </c>
      <c r="G76">
        <v>4629669.83</v>
      </c>
      <c r="H76">
        <v>56233.767319999999</v>
      </c>
    </row>
    <row r="77" spans="1:8" x14ac:dyDescent="0.35">
      <c r="A77" s="1">
        <v>2021</v>
      </c>
      <c r="B77" s="1" t="s">
        <v>4</v>
      </c>
      <c r="C77" s="1" t="s">
        <v>22</v>
      </c>
      <c r="D77" s="1" t="s">
        <v>20</v>
      </c>
      <c r="E77" s="1">
        <v>710813</v>
      </c>
      <c r="F77" s="1">
        <v>22415.894</v>
      </c>
      <c r="G77" s="1">
        <v>1604058775</v>
      </c>
      <c r="H77" s="1">
        <v>71558.991810000007</v>
      </c>
    </row>
    <row r="78" spans="1:8" x14ac:dyDescent="0.35">
      <c r="A78">
        <v>2021</v>
      </c>
      <c r="B78" t="s">
        <v>4</v>
      </c>
      <c r="C78" t="s">
        <v>3</v>
      </c>
      <c r="D78" t="s">
        <v>20</v>
      </c>
      <c r="E78">
        <v>710813</v>
      </c>
      <c r="F78">
        <v>75.314999999999998</v>
      </c>
      <c r="G78">
        <v>4154911.32</v>
      </c>
      <c r="H78">
        <v>55167.115709999998</v>
      </c>
    </row>
    <row r="79" spans="1:8" x14ac:dyDescent="0.35">
      <c r="A79">
        <v>2021</v>
      </c>
      <c r="B79" t="s">
        <v>3</v>
      </c>
      <c r="C79" t="s">
        <v>20</v>
      </c>
      <c r="D79" t="s">
        <v>20</v>
      </c>
      <c r="E79">
        <v>7108</v>
      </c>
      <c r="F79">
        <v>18444.240000000002</v>
      </c>
      <c r="G79">
        <v>1032854557</v>
      </c>
      <c r="H79">
        <v>55998.75935</v>
      </c>
    </row>
    <row r="80" spans="1:8" x14ac:dyDescent="0.35">
      <c r="A80" s="1">
        <v>2021</v>
      </c>
      <c r="B80" s="1" t="s">
        <v>3</v>
      </c>
      <c r="C80" s="1" t="s">
        <v>22</v>
      </c>
      <c r="D80" s="1" t="s">
        <v>20</v>
      </c>
      <c r="E80" s="1">
        <v>7108</v>
      </c>
      <c r="F80" s="1">
        <v>18444.240000000002</v>
      </c>
      <c r="G80" s="1">
        <v>1032854557</v>
      </c>
      <c r="H80" s="1">
        <v>55998.75935</v>
      </c>
    </row>
    <row r="81" spans="1:8" x14ac:dyDescent="0.35">
      <c r="A81">
        <v>2021</v>
      </c>
      <c r="B81" t="s">
        <v>3</v>
      </c>
      <c r="C81" t="s">
        <v>20</v>
      </c>
      <c r="D81" t="s">
        <v>20</v>
      </c>
      <c r="E81">
        <v>710812</v>
      </c>
      <c r="F81">
        <v>87.82</v>
      </c>
      <c r="G81">
        <v>4793412</v>
      </c>
      <c r="H81">
        <v>54582.236389999998</v>
      </c>
    </row>
    <row r="82" spans="1:8" x14ac:dyDescent="0.35">
      <c r="A82" s="1">
        <v>2021</v>
      </c>
      <c r="B82" s="1" t="s">
        <v>3</v>
      </c>
      <c r="C82" s="1" t="s">
        <v>22</v>
      </c>
      <c r="D82" s="1" t="s">
        <v>20</v>
      </c>
      <c r="E82" s="1">
        <v>710812</v>
      </c>
      <c r="F82" s="1">
        <v>87.82</v>
      </c>
      <c r="G82" s="1">
        <v>4793412</v>
      </c>
      <c r="H82" s="1">
        <v>54582.236389999998</v>
      </c>
    </row>
    <row r="83" spans="1:8" x14ac:dyDescent="0.35">
      <c r="A83">
        <v>2021</v>
      </c>
      <c r="B83" t="s">
        <v>3</v>
      </c>
      <c r="C83" t="s">
        <v>20</v>
      </c>
      <c r="D83" t="s">
        <v>20</v>
      </c>
      <c r="E83">
        <v>710813</v>
      </c>
      <c r="F83">
        <v>18356.419999999998</v>
      </c>
      <c r="G83">
        <v>1028061145</v>
      </c>
      <c r="H83">
        <v>56005.536220000002</v>
      </c>
    </row>
    <row r="84" spans="1:8" x14ac:dyDescent="0.35">
      <c r="A84" s="1">
        <v>2021</v>
      </c>
      <c r="B84" s="1" t="s">
        <v>3</v>
      </c>
      <c r="C84" s="1" t="s">
        <v>22</v>
      </c>
      <c r="D84" s="1" t="s">
        <v>20</v>
      </c>
      <c r="E84" s="1">
        <v>710813</v>
      </c>
      <c r="F84" s="1">
        <v>18356.419999999998</v>
      </c>
      <c r="G84" s="1">
        <v>1028061145</v>
      </c>
      <c r="H84" s="1">
        <v>56005.536220000002</v>
      </c>
    </row>
    <row r="85" spans="1:8" x14ac:dyDescent="0.35">
      <c r="A85">
        <v>2022</v>
      </c>
      <c r="B85" t="s">
        <v>4</v>
      </c>
      <c r="C85" t="s">
        <v>20</v>
      </c>
      <c r="D85" t="s">
        <v>20</v>
      </c>
      <c r="E85">
        <v>7108</v>
      </c>
      <c r="F85">
        <v>35706.178</v>
      </c>
      <c r="G85">
        <v>1992346633</v>
      </c>
      <c r="H85">
        <v>55798.372860000003</v>
      </c>
    </row>
    <row r="86" spans="1:8" x14ac:dyDescent="0.35">
      <c r="A86" s="1">
        <v>2022</v>
      </c>
      <c r="B86" s="1" t="s">
        <v>4</v>
      </c>
      <c r="C86" s="1" t="s">
        <v>27</v>
      </c>
      <c r="D86" s="1" t="s">
        <v>20</v>
      </c>
      <c r="E86" s="1">
        <v>7108</v>
      </c>
      <c r="F86" s="1">
        <v>5.0860000000000003</v>
      </c>
      <c r="G86" s="1">
        <v>296987.01</v>
      </c>
      <c r="H86" s="1">
        <v>58393.041680000002</v>
      </c>
    </row>
    <row r="87" spans="1:8" x14ac:dyDescent="0.35">
      <c r="A87">
        <v>2022</v>
      </c>
      <c r="B87" t="s">
        <v>4</v>
      </c>
      <c r="C87" t="s">
        <v>32</v>
      </c>
      <c r="D87" t="s">
        <v>20</v>
      </c>
      <c r="E87">
        <v>7108</v>
      </c>
      <c r="F87">
        <v>170.02199999999999</v>
      </c>
      <c r="G87">
        <v>10238545.17</v>
      </c>
      <c r="H87">
        <v>60218.943249999997</v>
      </c>
    </row>
    <row r="88" spans="1:8" x14ac:dyDescent="0.35">
      <c r="A88" s="1">
        <v>2022</v>
      </c>
      <c r="B88" s="1" t="s">
        <v>4</v>
      </c>
      <c r="C88" s="1" t="s">
        <v>22</v>
      </c>
      <c r="D88" s="1" t="s">
        <v>20</v>
      </c>
      <c r="E88" s="1">
        <v>7108</v>
      </c>
      <c r="F88" s="1">
        <v>35531.07</v>
      </c>
      <c r="G88" s="1">
        <v>1981811101</v>
      </c>
      <c r="H88" s="1">
        <v>55776.848299999998</v>
      </c>
    </row>
    <row r="89" spans="1:8" x14ac:dyDescent="0.35">
      <c r="A89">
        <v>2022</v>
      </c>
      <c r="B89" t="s">
        <v>4</v>
      </c>
      <c r="C89" t="s">
        <v>20</v>
      </c>
      <c r="D89" t="s">
        <v>20</v>
      </c>
      <c r="E89">
        <v>710813</v>
      </c>
      <c r="F89">
        <v>35706.178</v>
      </c>
      <c r="G89">
        <v>1992346633</v>
      </c>
      <c r="H89">
        <v>55798.372860000003</v>
      </c>
    </row>
    <row r="90" spans="1:8" x14ac:dyDescent="0.35">
      <c r="A90" s="1">
        <v>2022</v>
      </c>
      <c r="B90" s="1" t="s">
        <v>4</v>
      </c>
      <c r="C90" s="1" t="s">
        <v>27</v>
      </c>
      <c r="D90" s="1" t="s">
        <v>20</v>
      </c>
      <c r="E90" s="1">
        <v>710813</v>
      </c>
      <c r="F90" s="1">
        <v>5.0860000000000003</v>
      </c>
      <c r="G90" s="1">
        <v>296987.01</v>
      </c>
      <c r="H90" s="1">
        <v>58393.041680000002</v>
      </c>
    </row>
    <row r="91" spans="1:8" x14ac:dyDescent="0.35">
      <c r="A91">
        <v>2022</v>
      </c>
      <c r="B91" t="s">
        <v>4</v>
      </c>
      <c r="C91" t="s">
        <v>32</v>
      </c>
      <c r="D91" t="s">
        <v>20</v>
      </c>
      <c r="E91">
        <v>710813</v>
      </c>
      <c r="F91">
        <v>170.02199999999999</v>
      </c>
      <c r="G91">
        <v>10238545.17</v>
      </c>
      <c r="H91">
        <v>60218.943249999997</v>
      </c>
    </row>
    <row r="92" spans="1:8" x14ac:dyDescent="0.35">
      <c r="A92" s="1">
        <v>2022</v>
      </c>
      <c r="B92" s="1" t="s">
        <v>4</v>
      </c>
      <c r="C92" s="1" t="s">
        <v>22</v>
      </c>
      <c r="D92" s="1" t="s">
        <v>20</v>
      </c>
      <c r="E92" s="1">
        <v>710813</v>
      </c>
      <c r="F92" s="1">
        <v>35531.07</v>
      </c>
      <c r="G92" s="1">
        <v>1981811101</v>
      </c>
      <c r="H92" s="1">
        <v>55776.848299999998</v>
      </c>
    </row>
    <row r="93" spans="1:8" x14ac:dyDescent="0.35">
      <c r="A93" s="1">
        <v>2023</v>
      </c>
      <c r="B93" s="1" t="s">
        <v>4</v>
      </c>
      <c r="C93" s="1" t="s">
        <v>22</v>
      </c>
      <c r="D93" s="1" t="s">
        <v>20</v>
      </c>
      <c r="E93" s="1">
        <v>7108</v>
      </c>
      <c r="F93" s="1">
        <v>28943.86</v>
      </c>
      <c r="G93" s="1">
        <v>1792919195</v>
      </c>
      <c r="H93" s="1">
        <v>61944.716260000001</v>
      </c>
    </row>
    <row r="94" spans="1:8" x14ac:dyDescent="0.35">
      <c r="A94" s="1">
        <v>2023</v>
      </c>
      <c r="B94" s="1" t="s">
        <v>4</v>
      </c>
      <c r="C94" s="1" t="s">
        <v>22</v>
      </c>
      <c r="D94" s="1" t="s">
        <v>20</v>
      </c>
      <c r="E94" s="1">
        <v>710813</v>
      </c>
      <c r="F94" s="1">
        <v>28943.86</v>
      </c>
      <c r="G94" s="1">
        <v>1792919195</v>
      </c>
      <c r="H94" s="1">
        <v>61944.716260000001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A779-6CA3-C942-8947-4DD136268610}">
  <dimension ref="A1:H25"/>
  <sheetViews>
    <sheetView workbookViewId="0">
      <selection activeCell="K33" sqref="K33"/>
    </sheetView>
  </sheetViews>
  <sheetFormatPr defaultColWidth="11" defaultRowHeight="16.149999999999999" x14ac:dyDescent="0.35"/>
  <sheetData>
    <row r="1" spans="1:8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>
        <v>2020</v>
      </c>
      <c r="B2" t="s">
        <v>4</v>
      </c>
      <c r="C2" t="s">
        <v>20</v>
      </c>
      <c r="D2" t="s">
        <v>20</v>
      </c>
      <c r="E2">
        <v>7108</v>
      </c>
      <c r="F2">
        <v>0</v>
      </c>
      <c r="G2">
        <v>982257743.39999998</v>
      </c>
      <c r="H2" t="e">
        <v>#DIV/0!</v>
      </c>
    </row>
    <row r="3" spans="1:8" x14ac:dyDescent="0.35">
      <c r="A3" s="1">
        <v>2020</v>
      </c>
      <c r="B3" s="1" t="s">
        <v>4</v>
      </c>
      <c r="C3" s="1" t="s">
        <v>27</v>
      </c>
      <c r="D3" s="1" t="s">
        <v>20</v>
      </c>
      <c r="E3" s="1">
        <v>7108</v>
      </c>
      <c r="F3" s="1">
        <v>0</v>
      </c>
      <c r="G3" s="1">
        <v>17685354.300000001</v>
      </c>
      <c r="H3" s="1" t="e">
        <v>#DIV/0!</v>
      </c>
    </row>
    <row r="4" spans="1:8" x14ac:dyDescent="0.35">
      <c r="A4" s="1">
        <v>2020</v>
      </c>
      <c r="B4" s="1" t="s">
        <v>4</v>
      </c>
      <c r="C4" s="1" t="s">
        <v>21</v>
      </c>
      <c r="D4" s="1" t="s">
        <v>20</v>
      </c>
      <c r="E4" s="1">
        <v>7108</v>
      </c>
      <c r="F4" s="1">
        <v>0</v>
      </c>
      <c r="G4" s="1">
        <v>83447143.920000002</v>
      </c>
      <c r="H4" s="1" t="e">
        <v>#DIV/0!</v>
      </c>
    </row>
    <row r="5" spans="1:8" x14ac:dyDescent="0.35">
      <c r="A5" s="1">
        <v>2020</v>
      </c>
      <c r="B5" s="1" t="s">
        <v>4</v>
      </c>
      <c r="C5" s="1" t="s">
        <v>22</v>
      </c>
      <c r="D5" s="1" t="s">
        <v>20</v>
      </c>
      <c r="E5" s="1">
        <v>7108</v>
      </c>
      <c r="F5" s="1">
        <v>0</v>
      </c>
      <c r="G5" s="1">
        <v>739182243.70000005</v>
      </c>
      <c r="H5" s="1" t="e">
        <v>#DIV/0!</v>
      </c>
    </row>
    <row r="6" spans="1:8" x14ac:dyDescent="0.35">
      <c r="A6">
        <v>2020</v>
      </c>
      <c r="B6" t="s">
        <v>4</v>
      </c>
      <c r="C6" t="s">
        <v>3</v>
      </c>
      <c r="D6" t="s">
        <v>20</v>
      </c>
      <c r="E6">
        <v>7108</v>
      </c>
      <c r="F6">
        <v>0</v>
      </c>
      <c r="G6">
        <v>127193890</v>
      </c>
      <c r="H6" t="e">
        <v>#DIV/0!</v>
      </c>
    </row>
    <row r="7" spans="1:8" x14ac:dyDescent="0.35">
      <c r="A7">
        <v>2020</v>
      </c>
      <c r="B7" t="s">
        <v>4</v>
      </c>
      <c r="C7" t="s">
        <v>33</v>
      </c>
      <c r="D7" t="s">
        <v>20</v>
      </c>
      <c r="E7">
        <v>7108</v>
      </c>
      <c r="F7">
        <v>0</v>
      </c>
      <c r="G7">
        <v>10151003.560000001</v>
      </c>
      <c r="H7" t="e">
        <v>#DIV/0!</v>
      </c>
    </row>
    <row r="8" spans="1:8" x14ac:dyDescent="0.35">
      <c r="A8">
        <v>2020</v>
      </c>
      <c r="B8" t="s">
        <v>4</v>
      </c>
      <c r="C8" t="s">
        <v>20</v>
      </c>
      <c r="D8" t="s">
        <v>20</v>
      </c>
      <c r="E8">
        <v>710813</v>
      </c>
      <c r="F8">
        <v>0</v>
      </c>
      <c r="G8">
        <v>982257692.89999998</v>
      </c>
      <c r="H8" t="e">
        <v>#DIV/0!</v>
      </c>
    </row>
    <row r="9" spans="1:8" x14ac:dyDescent="0.35">
      <c r="A9" s="1">
        <v>2020</v>
      </c>
      <c r="B9" s="1" t="s">
        <v>4</v>
      </c>
      <c r="C9" s="1" t="s">
        <v>27</v>
      </c>
      <c r="D9" s="1" t="s">
        <v>20</v>
      </c>
      <c r="E9" s="1">
        <v>710813</v>
      </c>
      <c r="F9" s="1">
        <v>0</v>
      </c>
      <c r="G9" s="1">
        <v>17685354.300000001</v>
      </c>
      <c r="H9" s="1" t="e">
        <v>#DIV/0!</v>
      </c>
    </row>
    <row r="10" spans="1:8" x14ac:dyDescent="0.35">
      <c r="A10" s="1">
        <v>2020</v>
      </c>
      <c r="B10" s="1" t="s">
        <v>4</v>
      </c>
      <c r="C10" s="1" t="s">
        <v>21</v>
      </c>
      <c r="D10" s="1" t="s">
        <v>20</v>
      </c>
      <c r="E10" s="1">
        <v>710813</v>
      </c>
      <c r="F10" s="1">
        <v>0</v>
      </c>
      <c r="G10" s="1">
        <v>83447143.920000002</v>
      </c>
      <c r="H10" s="1" t="e">
        <v>#DIV/0!</v>
      </c>
    </row>
    <row r="11" spans="1:8" x14ac:dyDescent="0.35">
      <c r="A11" s="1">
        <v>2020</v>
      </c>
      <c r="B11" s="1" t="s">
        <v>4</v>
      </c>
      <c r="C11" s="1" t="s">
        <v>22</v>
      </c>
      <c r="D11" s="1" t="s">
        <v>20</v>
      </c>
      <c r="E11" s="1">
        <v>710813</v>
      </c>
      <c r="F11" s="1">
        <v>0</v>
      </c>
      <c r="G11" s="1">
        <v>739182243.70000005</v>
      </c>
      <c r="H11" s="1" t="e">
        <v>#DIV/0!</v>
      </c>
    </row>
    <row r="12" spans="1:8" x14ac:dyDescent="0.35">
      <c r="A12">
        <v>2020</v>
      </c>
      <c r="B12" t="s">
        <v>4</v>
      </c>
      <c r="C12" t="s">
        <v>3</v>
      </c>
      <c r="D12" t="s">
        <v>20</v>
      </c>
      <c r="E12">
        <v>710813</v>
      </c>
      <c r="F12">
        <v>0</v>
      </c>
      <c r="G12">
        <v>127193890</v>
      </c>
      <c r="H12" t="e">
        <v>#DIV/0!</v>
      </c>
    </row>
    <row r="13" spans="1:8" x14ac:dyDescent="0.35">
      <c r="A13">
        <v>2020</v>
      </c>
      <c r="B13" t="s">
        <v>4</v>
      </c>
      <c r="C13" t="s">
        <v>33</v>
      </c>
      <c r="D13" t="s">
        <v>20</v>
      </c>
      <c r="E13">
        <v>710813</v>
      </c>
      <c r="F13">
        <v>0</v>
      </c>
      <c r="G13">
        <v>10151003.560000001</v>
      </c>
      <c r="H13" t="e">
        <v>#DIV/0!</v>
      </c>
    </row>
    <row r="14" spans="1:8" x14ac:dyDescent="0.35">
      <c r="A14">
        <v>2020</v>
      </c>
      <c r="B14" t="s">
        <v>3</v>
      </c>
      <c r="C14" t="s">
        <v>20</v>
      </c>
      <c r="D14" t="s">
        <v>20</v>
      </c>
      <c r="E14">
        <v>7108</v>
      </c>
      <c r="F14">
        <v>0</v>
      </c>
      <c r="G14">
        <v>1818003348</v>
      </c>
      <c r="H14" t="e">
        <v>#DIV/0!</v>
      </c>
    </row>
    <row r="15" spans="1:8" x14ac:dyDescent="0.35">
      <c r="A15" s="1">
        <v>2020</v>
      </c>
      <c r="B15" s="1" t="s">
        <v>3</v>
      </c>
      <c r="C15" s="1" t="s">
        <v>27</v>
      </c>
      <c r="D15" s="1" t="s">
        <v>20</v>
      </c>
      <c r="E15" s="1">
        <v>7108</v>
      </c>
      <c r="F15" s="1">
        <v>0</v>
      </c>
      <c r="G15" s="1">
        <v>28723</v>
      </c>
      <c r="H15" s="1" t="e">
        <v>#DIV/0!</v>
      </c>
    </row>
    <row r="16" spans="1:8" x14ac:dyDescent="0.35">
      <c r="A16">
        <v>2020</v>
      </c>
      <c r="B16" t="s">
        <v>3</v>
      </c>
      <c r="C16" t="s">
        <v>34</v>
      </c>
      <c r="D16" t="s">
        <v>20</v>
      </c>
      <c r="E16">
        <v>7108</v>
      </c>
      <c r="F16">
        <v>0</v>
      </c>
      <c r="G16">
        <v>18245</v>
      </c>
      <c r="H16" t="e">
        <v>#DIV/0!</v>
      </c>
    </row>
    <row r="17" spans="1:8" x14ac:dyDescent="0.35">
      <c r="A17" s="2">
        <v>2020</v>
      </c>
      <c r="B17" s="2" t="s">
        <v>3</v>
      </c>
      <c r="C17" s="2" t="s">
        <v>25</v>
      </c>
      <c r="D17" s="2" t="s">
        <v>20</v>
      </c>
      <c r="E17" s="2">
        <v>7108</v>
      </c>
      <c r="F17" s="2">
        <v>0</v>
      </c>
      <c r="G17" s="2">
        <v>1886</v>
      </c>
      <c r="H17" s="2" t="e">
        <v>#DIV/0!</v>
      </c>
    </row>
    <row r="18" spans="1:8" x14ac:dyDescent="0.35">
      <c r="A18">
        <v>2020</v>
      </c>
      <c r="B18" t="s">
        <v>3</v>
      </c>
      <c r="C18" t="s">
        <v>20</v>
      </c>
      <c r="D18" t="s">
        <v>20</v>
      </c>
      <c r="E18">
        <v>710812</v>
      </c>
      <c r="F18">
        <v>0</v>
      </c>
      <c r="G18">
        <v>48854</v>
      </c>
      <c r="H18" t="e">
        <v>#DIV/0!</v>
      </c>
    </row>
    <row r="19" spans="1:8" x14ac:dyDescent="0.35">
      <c r="A19" s="1">
        <v>2020</v>
      </c>
      <c r="B19" s="1" t="s">
        <v>3</v>
      </c>
      <c r="C19" s="1" t="s">
        <v>27</v>
      </c>
      <c r="D19" s="1" t="s">
        <v>20</v>
      </c>
      <c r="E19" s="1">
        <v>710812</v>
      </c>
      <c r="F19" s="1">
        <v>0</v>
      </c>
      <c r="G19" s="1">
        <v>28723</v>
      </c>
      <c r="H19" s="1" t="e">
        <v>#DIV/0!</v>
      </c>
    </row>
    <row r="20" spans="1:8" x14ac:dyDescent="0.35">
      <c r="A20">
        <v>2020</v>
      </c>
      <c r="B20" t="s">
        <v>3</v>
      </c>
      <c r="C20" t="s">
        <v>34</v>
      </c>
      <c r="D20" t="s">
        <v>20</v>
      </c>
      <c r="E20">
        <v>710812</v>
      </c>
      <c r="F20">
        <v>0</v>
      </c>
      <c r="G20">
        <v>18245</v>
      </c>
      <c r="H20" t="e">
        <v>#DIV/0!</v>
      </c>
    </row>
    <row r="21" spans="1:8" x14ac:dyDescent="0.35">
      <c r="A21" s="2">
        <v>2020</v>
      </c>
      <c r="B21" s="2" t="s">
        <v>3</v>
      </c>
      <c r="C21" s="2" t="s">
        <v>25</v>
      </c>
      <c r="D21" s="2" t="s">
        <v>20</v>
      </c>
      <c r="E21" s="2">
        <v>710812</v>
      </c>
      <c r="F21" s="2">
        <v>0</v>
      </c>
      <c r="G21" s="2">
        <v>1886</v>
      </c>
      <c r="H21" s="2" t="e">
        <v>#DIV/0!</v>
      </c>
    </row>
    <row r="22" spans="1:8" x14ac:dyDescent="0.35">
      <c r="A22">
        <v>2023</v>
      </c>
      <c r="B22" t="s">
        <v>4</v>
      </c>
      <c r="C22" t="s">
        <v>20</v>
      </c>
      <c r="D22" t="s">
        <v>20</v>
      </c>
      <c r="E22">
        <v>7108</v>
      </c>
      <c r="F22">
        <v>0</v>
      </c>
      <c r="G22">
        <v>1805476918</v>
      </c>
      <c r="H22" t="e">
        <v>#DIV/0!</v>
      </c>
    </row>
    <row r="23" spans="1:8" x14ac:dyDescent="0.35">
      <c r="A23">
        <v>2023</v>
      </c>
      <c r="B23" t="s">
        <v>4</v>
      </c>
      <c r="C23" t="s">
        <v>32</v>
      </c>
      <c r="D23" t="s">
        <v>20</v>
      </c>
      <c r="E23">
        <v>7108</v>
      </c>
      <c r="F23">
        <v>0</v>
      </c>
      <c r="G23">
        <v>12557723.140000001</v>
      </c>
      <c r="H23" t="e">
        <v>#DIV/0!</v>
      </c>
    </row>
    <row r="24" spans="1:8" x14ac:dyDescent="0.35">
      <c r="A24">
        <v>2023</v>
      </c>
      <c r="B24" t="s">
        <v>4</v>
      </c>
      <c r="C24" t="s">
        <v>20</v>
      </c>
      <c r="D24" t="s">
        <v>20</v>
      </c>
      <c r="E24">
        <v>710813</v>
      </c>
      <c r="F24">
        <v>0</v>
      </c>
      <c r="G24">
        <v>1805476918</v>
      </c>
      <c r="H24" t="e">
        <v>#DIV/0!</v>
      </c>
    </row>
    <row r="25" spans="1:8" x14ac:dyDescent="0.35">
      <c r="A25">
        <v>2023</v>
      </c>
      <c r="B25" t="s">
        <v>4</v>
      </c>
      <c r="C25" t="s">
        <v>32</v>
      </c>
      <c r="D25" t="s">
        <v>20</v>
      </c>
      <c r="E25">
        <v>710813</v>
      </c>
      <c r="F25">
        <v>0</v>
      </c>
      <c r="G25">
        <v>12557723.140000001</v>
      </c>
      <c r="H25" t="e"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5F43-6988-374F-869A-94AFE2335B78}">
  <dimension ref="A1:I11"/>
  <sheetViews>
    <sheetView workbookViewId="0">
      <selection activeCell="B21" sqref="B21"/>
    </sheetView>
  </sheetViews>
  <sheetFormatPr defaultColWidth="11" defaultRowHeight="16.149999999999999" x14ac:dyDescent="0.35"/>
  <cols>
    <col min="1" max="1" width="19.36328125" bestFit="1" customWidth="1"/>
    <col min="2" max="2" width="33.81640625" bestFit="1" customWidth="1"/>
  </cols>
  <sheetData>
    <row r="1" spans="1:9" x14ac:dyDescent="0.35">
      <c r="A1" t="s">
        <v>3</v>
      </c>
    </row>
    <row r="2" spans="1:9" x14ac:dyDescent="0.35">
      <c r="A2" t="s">
        <v>35</v>
      </c>
      <c r="B2" t="s">
        <v>36</v>
      </c>
    </row>
    <row r="3" spans="1:9" x14ac:dyDescent="0.35">
      <c r="A3" t="s">
        <v>37</v>
      </c>
      <c r="B3" t="s">
        <v>38</v>
      </c>
    </row>
    <row r="5" spans="1:9" x14ac:dyDescent="0.35">
      <c r="A5" t="s">
        <v>4</v>
      </c>
    </row>
    <row r="6" spans="1:9" x14ac:dyDescent="0.35">
      <c r="A6" t="s">
        <v>37</v>
      </c>
      <c r="B6" t="s">
        <v>38</v>
      </c>
    </row>
    <row r="7" spans="1:9" x14ac:dyDescent="0.35">
      <c r="A7" t="s">
        <v>39</v>
      </c>
      <c r="B7" t="s">
        <v>40</v>
      </c>
    </row>
    <row r="9" spans="1:9" x14ac:dyDescent="0.35">
      <c r="A9" t="s">
        <v>41</v>
      </c>
    </row>
    <row r="10" spans="1:9" x14ac:dyDescent="0.35">
      <c r="A10" t="s">
        <v>42</v>
      </c>
      <c r="B10" t="s">
        <v>43</v>
      </c>
      <c r="C10" s="1" t="s">
        <v>28</v>
      </c>
      <c r="D10" s="1" t="s">
        <v>31</v>
      </c>
      <c r="E10" s="1" t="s">
        <v>21</v>
      </c>
      <c r="F10" t="s">
        <v>44</v>
      </c>
      <c r="G10" t="s">
        <v>45</v>
      </c>
      <c r="H10" t="s">
        <v>46</v>
      </c>
      <c r="I10" s="1" t="s">
        <v>47</v>
      </c>
    </row>
    <row r="11" spans="1:9" x14ac:dyDescent="0.35">
      <c r="A11" s="3">
        <v>2009</v>
      </c>
      <c r="B11">
        <v>2009</v>
      </c>
      <c r="C11" s="1">
        <v>2009</v>
      </c>
      <c r="D11" s="1">
        <v>2009</v>
      </c>
      <c r="E11" s="1">
        <v>2010</v>
      </c>
      <c r="F11">
        <v>2024</v>
      </c>
      <c r="G11">
        <v>2024</v>
      </c>
      <c r="H11">
        <v>2024</v>
      </c>
      <c r="I11" s="1">
        <v>2024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F481A177A3A244B01B9B3103087E12" ma:contentTypeVersion="4" ma:contentTypeDescription="Create a new document." ma:contentTypeScope="" ma:versionID="e34e49411f4e014a14cdc909d86017ed">
  <xsd:schema xmlns:xsd="http://www.w3.org/2001/XMLSchema" xmlns:xs="http://www.w3.org/2001/XMLSchema" xmlns:p="http://schemas.microsoft.com/office/2006/metadata/properties" xmlns:ns2="0567c9c7-5abd-4483-8ef8-2fc0dcf936a2" targetNamespace="http://schemas.microsoft.com/office/2006/metadata/properties" ma:root="true" ma:fieldsID="b81dd33558f5e1e3a1ecd19238f4573d" ns2:_="">
    <xsd:import namespace="0567c9c7-5abd-4483-8ef8-2fc0dcf93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67c9c7-5abd-4483-8ef8-2fc0dcf93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C2CA56-4564-4722-9DCC-B3914083D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67c9c7-5abd-4483-8ef8-2fc0dcf93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8C5F38-23DB-4819-8300-E04E3EAEC6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65E7C6-70D8-4E61-87C5-B32F13DDB3CF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0567c9c7-5abd-4483-8ef8-2fc0dcf936a2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TradeData_2017_to_2023</vt:lpstr>
      <vt:lpstr>Primary Value</vt:lpstr>
      <vt:lpstr>Quantity</vt:lpstr>
      <vt:lpstr>Price Per Qty</vt:lpstr>
      <vt:lpstr>TradeData_2017_to_2023_without </vt:lpstr>
      <vt:lpstr>TradeData_2017_to_2023_zero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Simran</dc:creator>
  <cp:keywords/>
  <dc:description/>
  <cp:lastModifiedBy>Aravind Devakumar</cp:lastModifiedBy>
  <cp:revision/>
  <dcterms:created xsi:type="dcterms:W3CDTF">2024-06-16T16:24:54Z</dcterms:created>
  <dcterms:modified xsi:type="dcterms:W3CDTF">2024-06-27T14:23:07Z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0x0101001CF481A177A3A244B01B9B3103087E12</vt:lpwstr>
  </property>
</Properties>
</file>